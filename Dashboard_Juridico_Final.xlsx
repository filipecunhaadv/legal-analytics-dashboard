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fa01e629d1effa4/Área de Trabalho/CV Atual/Projeto Excel/"/>
    </mc:Choice>
  </mc:AlternateContent>
  <xr:revisionPtr revIDLastSave="10" documentId="8_{6E5D5B95-2A57-4C41-9593-31179C963B5F}" xr6:coauthVersionLast="47" xr6:coauthVersionMax="47" xr10:uidLastSave="{6D1E5F39-A98D-4988-ACE7-2397C23F2A82}"/>
  <bookViews>
    <workbookView xWindow="28680" yWindow="-120" windowWidth="29040" windowHeight="15720" activeTab="3" xr2:uid="{00000000-000D-0000-FFFF-FFFF00000000}"/>
  </bookViews>
  <sheets>
    <sheet name="Base_Dados" sheetId="1" r:id="rId1"/>
    <sheet name="KPIs" sheetId="2" r:id="rId2"/>
    <sheet name="Analises" sheetId="4" r:id="rId3"/>
    <sheet name="Dashboard" sheetId="3" r:id="rId4"/>
  </sheets>
  <definedNames>
    <definedName name="SegmentaçãodeDados_Ano_Abertura">#N/A</definedName>
    <definedName name="SegmentaçãodeDados_Região">#N/A</definedName>
    <definedName name="SegmentaçãodeDados_Responsável">#N/A</definedName>
    <definedName name="SegmentaçãodeDados_Status">#N/A</definedName>
    <definedName name="SegmentaçãodeDados_Tipo_Processo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H9" i="3"/>
  <c r="M4" i="3"/>
  <c r="J4" i="3"/>
  <c r="G4" i="3"/>
  <c r="D4" i="3"/>
  <c r="B5" i="2"/>
  <c r="B6" i="2"/>
  <c r="B7" i="2"/>
  <c r="C9" i="3" s="1"/>
  <c r="B4" i="2"/>
  <c r="P4" i="3" s="1"/>
  <c r="B3" i="2"/>
  <c r="B2" i="2"/>
  <c r="B9" i="2"/>
  <c r="B8" i="2"/>
</calcChain>
</file>

<file path=xl/sharedStrings.xml><?xml version="1.0" encoding="utf-8"?>
<sst xmlns="http://schemas.openxmlformats.org/spreadsheetml/2006/main" count="720" uniqueCount="50">
  <si>
    <t>ID_Processo</t>
  </si>
  <si>
    <t>Tipo_Processo</t>
  </si>
  <si>
    <t>Status</t>
  </si>
  <si>
    <t>Valor_Causa</t>
  </si>
  <si>
    <t>Economia_Acordo</t>
  </si>
  <si>
    <t>Tempo_Dias</t>
  </si>
  <si>
    <t>Região</t>
  </si>
  <si>
    <t>Responsável</t>
  </si>
  <si>
    <t>Data_Abertura</t>
  </si>
  <si>
    <t>Data_Encerramento</t>
  </si>
  <si>
    <t>RJ</t>
  </si>
  <si>
    <t>SP</t>
  </si>
  <si>
    <t>MG</t>
  </si>
  <si>
    <t>Alan</t>
  </si>
  <si>
    <t>Ana Paula</t>
  </si>
  <si>
    <t>Filipe</t>
  </si>
  <si>
    <t>Acordo</t>
  </si>
  <si>
    <t>Trabalhista</t>
  </si>
  <si>
    <t>Consumidor</t>
  </si>
  <si>
    <t>Cível</t>
  </si>
  <si>
    <t>Em andamento</t>
  </si>
  <si>
    <t>Encerrado</t>
  </si>
  <si>
    <t>Ano_Abertura</t>
  </si>
  <si>
    <t>Rogério</t>
  </si>
  <si>
    <t>Vânia</t>
  </si>
  <si>
    <t>Total de Processos</t>
  </si>
  <si>
    <t>Valor Total das Causas</t>
  </si>
  <si>
    <t>Economia Total</t>
  </si>
  <si>
    <t>Tempo Médio</t>
  </si>
  <si>
    <t>Percentual de Acordos</t>
  </si>
  <si>
    <t>KPI</t>
  </si>
  <si>
    <t>Valor</t>
  </si>
  <si>
    <t>Rótulos de Linha</t>
  </si>
  <si>
    <t>Total Geral</t>
  </si>
  <si>
    <t>Contagem de ID_Processo</t>
  </si>
  <si>
    <t>Soma de Economia_Acordo</t>
  </si>
  <si>
    <t>Média de Tempo_Dias</t>
  </si>
  <si>
    <t>Tipo de Processo</t>
  </si>
  <si>
    <t>Ano de Abertura</t>
  </si>
  <si>
    <t>Rótulos de Coluna</t>
  </si>
  <si>
    <t>Responsável com Maior Economia</t>
  </si>
  <si>
    <t>Tipo Processual com Mais Acordos</t>
  </si>
  <si>
    <t>Tempo Médio dos Processos Encerrados</t>
  </si>
  <si>
    <t>Dashboard de Indicadores Jurídicos e Gestão de Processos</t>
  </si>
  <si>
    <t>Soma do Valor das Causas</t>
  </si>
  <si>
    <t>Tempo Médio dos Processos</t>
  </si>
  <si>
    <t>Porcentagem de Acordos</t>
  </si>
  <si>
    <t>Tipo de Processo Com Mais Acordos</t>
  </si>
  <si>
    <t>(Tudo)</t>
  </si>
  <si>
    <t xml:space="preserve">    Selecione seu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</si>
</sst>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rgb="FF4A4A4A"/>
      <name val="Calibri"/>
      <family val="2"/>
      <scheme val="minor"/>
    </font>
    <font>
      <b/>
      <sz val="16"/>
      <color rgb="FF2F75B5"/>
      <name val="Calibri"/>
      <family val="2"/>
      <scheme val="minor"/>
    </font>
    <font>
      <sz val="18"/>
      <color rgb="FF66708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FF3"/>
        <bgColor indexed="64"/>
      </patternFill>
    </fill>
    <fill>
      <patternFill patternType="solid">
        <fgColor rgb="FFEEF2F7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Border="1"/>
    <xf numFmtId="9" fontId="0" fillId="0" borderId="0" xfId="1" applyFont="1" applyBorder="1"/>
    <xf numFmtId="0" fontId="2" fillId="0" borderId="8" xfId="0" applyFont="1" applyBorder="1"/>
    <xf numFmtId="0" fontId="0" fillId="0" borderId="3" xfId="0" applyBorder="1" applyAlignment="1">
      <alignment horizontal="right"/>
    </xf>
    <xf numFmtId="0" fontId="0" fillId="0" borderId="9" xfId="0" applyBorder="1" applyAlignment="1">
      <alignment horizontal="right"/>
    </xf>
    <xf numFmtId="9" fontId="0" fillId="0" borderId="3" xfId="1" applyFon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3" borderId="0" xfId="0" applyFill="1"/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4" borderId="31" xfId="0" applyFill="1" applyBorder="1"/>
    <xf numFmtId="0" fontId="0" fillId="4" borderId="0" xfId="0" applyFill="1" applyBorder="1"/>
    <xf numFmtId="0" fontId="0" fillId="4" borderId="30" xfId="0" applyFill="1" applyBorder="1"/>
    <xf numFmtId="0" fontId="0" fillId="4" borderId="0" xfId="0" applyFill="1" applyBorder="1" applyAlignment="1">
      <alignment wrapText="1"/>
    </xf>
    <xf numFmtId="0" fontId="0" fillId="4" borderId="30" xfId="0" applyFill="1" applyBorder="1" applyAlignment="1">
      <alignment wrapText="1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0" fillId="4" borderId="0" xfId="0" applyFill="1" applyBorder="1" applyAlignment="1"/>
    <xf numFmtId="0" fontId="0" fillId="4" borderId="1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0" xfId="0" applyFill="1" applyBorder="1" applyAlignment="1"/>
    <xf numFmtId="0" fontId="0" fillId="4" borderId="3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5" fillId="5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164" fontId="6" fillId="5" borderId="26" xfId="0" applyNumberFormat="1" applyFont="1" applyFill="1" applyBorder="1" applyAlignment="1">
      <alignment horizontal="center" vertical="center"/>
    </xf>
    <xf numFmtId="164" fontId="6" fillId="5" borderId="27" xfId="0" applyNumberFormat="1" applyFont="1" applyFill="1" applyBorder="1" applyAlignment="1">
      <alignment horizontal="center" vertical="center"/>
    </xf>
    <xf numFmtId="164" fontId="6" fillId="5" borderId="28" xfId="0" applyNumberFormat="1" applyFont="1" applyFill="1" applyBorder="1" applyAlignment="1">
      <alignment horizontal="center" vertical="center"/>
    </xf>
    <xf numFmtId="9" fontId="6" fillId="5" borderId="26" xfId="0" applyNumberFormat="1" applyFont="1" applyFill="1" applyBorder="1" applyAlignment="1">
      <alignment horizontal="center" vertical="center"/>
    </xf>
    <xf numFmtId="9" fontId="6" fillId="5" borderId="27" xfId="0" applyNumberFormat="1" applyFont="1" applyFill="1" applyBorder="1" applyAlignment="1">
      <alignment horizontal="center" vertical="center"/>
    </xf>
    <xf numFmtId="9" fontId="6" fillId="5" borderId="28" xfId="0" applyNumberFormat="1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0" fillId="4" borderId="30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164" fontId="6" fillId="5" borderId="20" xfId="0" applyNumberFormat="1" applyFont="1" applyFill="1" applyBorder="1" applyAlignment="1">
      <alignment horizontal="center" vertical="center"/>
    </xf>
    <xf numFmtId="164" fontId="6" fillId="5" borderId="21" xfId="0" applyNumberFormat="1" applyFont="1" applyFill="1" applyBorder="1" applyAlignment="1">
      <alignment horizontal="center" vertical="center"/>
    </xf>
    <xf numFmtId="164" fontId="6" fillId="5" borderId="22" xfId="0" applyNumberFormat="1" applyFont="1" applyFill="1" applyBorder="1" applyAlignment="1">
      <alignment horizontal="center" vertical="center"/>
    </xf>
    <xf numFmtId="9" fontId="6" fillId="5" borderId="20" xfId="0" applyNumberFormat="1" applyFont="1" applyFill="1" applyBorder="1" applyAlignment="1">
      <alignment horizontal="center" vertical="center"/>
    </xf>
    <xf numFmtId="9" fontId="6" fillId="5" borderId="21" xfId="0" applyNumberFormat="1" applyFont="1" applyFill="1" applyBorder="1" applyAlignment="1">
      <alignment horizontal="center" vertical="center"/>
    </xf>
    <xf numFmtId="9" fontId="6" fillId="5" borderId="22" xfId="0" applyNumberFormat="1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 wrapText="1"/>
    </xf>
    <xf numFmtId="0" fontId="7" fillId="4" borderId="30" xfId="0" applyFont="1" applyFill="1" applyBorder="1" applyAlignment="1">
      <alignment horizontal="left" vertical="center" wrapText="1"/>
    </xf>
  </cellXfs>
  <cellStyles count="2">
    <cellStyle name="Normal" xfId="0" builtinId="0"/>
    <cellStyle name="Porcentagem" xfId="1" builtinId="5"/>
  </cellStyles>
  <dxfs count="163"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>
          <fgColor rgb="FFE2E2E2"/>
        </patternFill>
      </fill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rgb="FF2F2F2F"/>
      </font>
      <fill>
        <patternFill>
          <bgColor rgb="FFDCE6F2"/>
        </patternFill>
      </fill>
    </dxf>
    <dxf>
      <numFmt numFmtId="19" formatCode="dd/mm/yyyy"/>
    </dxf>
    <dxf>
      <numFmt numFmtId="19" formatCode="dd/mm/yyyy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2" defaultTableStyle="TableStyleMedium2" defaultPivotStyle="PivotStyleLight16">
    <tableStyle name="Estilo de Segmentação de Dados Proj Excel Jur" pivot="0" table="0" count="7" xr9:uid="{FC579564-3D89-429C-8CAC-11E13855D7F8}">
      <tableStyleElement type="headerRow" dxfId="140"/>
    </tableStyle>
    <tableStyle name="SlicerStyleOther2 2" pivot="0" table="0" count="10" xr9:uid="{B5E74D40-F0D4-4DC3-8A77-F50853CB6624}">
      <tableStyleElement type="wholeTable" dxfId="93"/>
      <tableStyleElement type="headerRow" dxfId="92"/>
    </tableStyle>
  </tableStyles>
  <colors>
    <mruColors>
      <color rgb="FF667085"/>
      <color rgb="FF6E6E6E"/>
      <color rgb="FFE2E2E2"/>
      <color rgb="FFD9DEE5"/>
      <color rgb="FF9A9A9A"/>
      <color rgb="FFF1F3F6"/>
      <color rgb="FFC7D0DB"/>
      <color rgb="FF7A7A7A"/>
      <color rgb="FFE3E8EF"/>
      <color rgb="FFB8C6D9"/>
    </mruColors>
  </colors>
  <extLst>
    <ext xmlns:x14="http://schemas.microsoft.com/office/spreadsheetml/2009/9/main" uri="{46F421CA-312F-682f-3DD2-61675219B42D}">
      <x14:dxfs count="14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9A9A9A"/>
          </font>
          <fill>
            <patternFill>
              <fgColor rgb="FFF1F3F6"/>
            </patternFill>
          </fill>
        </dxf>
        <dxf>
          <font>
            <color rgb="FF7A7A7A"/>
          </font>
          <fill>
            <patternFill>
              <fgColor rgb="FFE3E8EF"/>
            </patternFill>
          </fill>
        </dxf>
        <dxf>
          <font>
            <color rgb="FF2F2F2F"/>
          </font>
          <fill>
            <patternFill>
              <fgColor rgb="FFDCE6F2"/>
            </patternFill>
          </fill>
        </dxf>
        <dxf>
          <font>
            <color rgb="FFFFFFFF"/>
          </font>
          <fill>
            <patternFill>
              <fgColor rgb="FF4F8CC9"/>
            </patternFill>
          </fill>
        </dxf>
        <dxf>
          <font>
            <color theme="0"/>
          </font>
          <fill>
            <patternFill>
              <fgColor rgb="FF5B9BD5"/>
            </patternFill>
          </fill>
        </dxf>
        <dxf>
          <font>
            <color rgb="FF3A3A3A"/>
          </font>
          <fill>
            <patternFill>
              <fgColor rgb="FFEEF2F7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Proj Excel Jur">
          <x14:slicerStyleElements>
            <x14:slicerStyleElement type="selectedItemWithData" dxfId="12"/>
            <x14:slicerStyleElement type="selectedItemWithNoData" dxfId="13"/>
            <x14:slicerStyleElement type="hoveredUnselectedItemWithData" dxfId="9"/>
            <x14:slicerStyleElement type="hoveredSelectedItemWithData" dxfId="11"/>
            <x14:slicerStyleElement type="hoveredUnselectedItemWithNoData" dxfId="8"/>
            <x14:slicerStyleElement type="hoveredSelectedItemWithNoData" dxfId="10"/>
          </x14:slicerStyleElements>
        </x14:slicerStyle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[Dashboard_Juridico_Final.xlsx]Analises!economia_responsavel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Economia por Responsável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8268089686683879E-2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7AF86FB-0239-4CCD-949A-E4A418232C6F}" type="VALUE">
                  <a:rPr lang="en-US" sz="800">
                    <a:solidFill>
                      <a:schemeClr val="bg1"/>
                    </a:solidFill>
                  </a:rPr>
                  <a:pPr>
                    <a:defRPr sz="800" b="1"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97843793065020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97843793065020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958646708507413"/>
              <c:y val="-9.896421888015540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763299701279965"/>
              <c:y val="-9.896421888015540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2763299701279965"/>
                  <c:y val="-9.896421888015540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AE-4632-9FD3-3EC39B1B5E0F}"/>
                </c:ext>
              </c:extLst>
            </c:dLbl>
            <c:dLbl>
              <c:idx val="1"/>
              <c:layout>
                <c:manualLayout>
                  <c:x val="-0.12958646708507413"/>
                  <c:y val="-9.896421888015540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AE-4632-9FD3-3EC39B1B5E0F}"/>
                </c:ext>
              </c:extLst>
            </c:dLbl>
            <c:dLbl>
              <c:idx val="2"/>
              <c:layout>
                <c:manualLayout>
                  <c:x val="-0.1297843793065020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AE-4632-9FD3-3EC39B1B5E0F}"/>
                </c:ext>
              </c:extLst>
            </c:dLbl>
            <c:dLbl>
              <c:idx val="3"/>
              <c:layout>
                <c:manualLayout>
                  <c:x val="-0.1297843793065020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AE-4632-9FD3-3EC39B1B5E0F}"/>
                </c:ext>
              </c:extLst>
            </c:dLbl>
            <c:dLbl>
              <c:idx val="4"/>
              <c:layout>
                <c:manualLayout>
                  <c:x val="-9.8268089686683879E-2"/>
                  <c:y val="0"/>
                </c:manualLayout>
              </c:layout>
              <c:tx>
                <c:rich>
                  <a:bodyPr/>
                  <a:lstStyle/>
                  <a:p>
                    <a:fld id="{77AF86FB-0239-4CCD-949A-E4A418232C6F}" type="VALUE">
                      <a:rPr lang="en-US" sz="800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7AE-4632-9FD3-3EC39B1B5E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Analises!$A$62:$A$67</c:f>
              <c:strCache>
                <c:ptCount val="5"/>
                <c:pt idx="0">
                  <c:v>Ana Paula</c:v>
                </c:pt>
                <c:pt idx="1">
                  <c:v>Vânia</c:v>
                </c:pt>
                <c:pt idx="2">
                  <c:v>Rogério</c:v>
                </c:pt>
                <c:pt idx="3">
                  <c:v>Filipe</c:v>
                </c:pt>
                <c:pt idx="4">
                  <c:v>Alan</c:v>
                </c:pt>
              </c:strCache>
            </c:strRef>
          </c:cat>
          <c:val>
            <c:numRef>
              <c:f>Analises!$B$62:$B$67</c:f>
              <c:numCache>
                <c:formatCode>_-[$R$-416]\ * #,##0.00_-;\-[$R$-416]\ * #,##0.00_-;_-[$R$-416]\ * "-"??_-;_-@_-</c:formatCode>
                <c:ptCount val="5"/>
                <c:pt idx="0">
                  <c:v>559165</c:v>
                </c:pt>
                <c:pt idx="1">
                  <c:v>625046</c:v>
                </c:pt>
                <c:pt idx="2">
                  <c:v>638913</c:v>
                </c:pt>
                <c:pt idx="3">
                  <c:v>677742</c:v>
                </c:pt>
                <c:pt idx="4">
                  <c:v>919661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E-4632-9FD3-3EC39B1B5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2097791"/>
        <c:axId val="1452101151"/>
      </c:barChart>
      <c:catAx>
        <c:axId val="145209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2101151"/>
        <c:crosses val="autoZero"/>
        <c:auto val="1"/>
        <c:lblAlgn val="ctr"/>
        <c:lblOffset val="100"/>
        <c:noMultiLvlLbl val="0"/>
      </c:catAx>
      <c:valAx>
        <c:axId val="1452101151"/>
        <c:scaling>
          <c:orientation val="minMax"/>
        </c:scaling>
        <c:delete val="1"/>
        <c:axPos val="b"/>
        <c:numFmt formatCode="_-[$R$-416]\ * #,##0.00_-;\-[$R$-416]\ * #,##0.00_-;_-[$R$-416]\ * &quot;-&quot;??_-;_-@_-" sourceLinked="0"/>
        <c:majorTickMark val="none"/>
        <c:minorTickMark val="none"/>
        <c:tickLblPos val="nextTo"/>
        <c:crossAx val="1452097791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AEAEA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[Dashboard_Juridico_Final.xlsx]Analises!processos_região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Economia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1632386122864378E-3"/>
              <c:y val="8.533333333333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1880416111230915E-4"/>
              <c:y val="8.54299212598424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605198480771316E-3"/>
              <c:y val="7.9903631581503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371322005801907"/>
                  <c:h val="5.2867630617076194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0313942751615882E-2"/>
          <c:y val="0.20190209790209793"/>
          <c:w val="0.95937211449676829"/>
          <c:h val="0.696289411376025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1605198480771316E-3"/>
                  <c:y val="7.99036315815039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71322005801907"/>
                      <c:h val="5.28676306170761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CE-4DDF-AAAC-B73A458BD736}"/>
                </c:ext>
              </c:extLst>
            </c:dLbl>
            <c:dLbl>
              <c:idx val="1"/>
              <c:layout>
                <c:manualLayout>
                  <c:x val="-4.1880416111230915E-4"/>
                  <c:y val="8.54299212598424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CE-4DDF-AAAC-B73A458BD736}"/>
                </c:ext>
              </c:extLst>
            </c:dLbl>
            <c:dLbl>
              <c:idx val="2"/>
              <c:layout>
                <c:manualLayout>
                  <c:x val="-2.1632386122864378E-3"/>
                  <c:y val="8.5333333333333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CE-4DDF-AAAC-B73A458BD7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Analises!$A$11:$A$14</c:f>
              <c:strCache>
                <c:ptCount val="3"/>
                <c:pt idx="0">
                  <c:v>MG</c:v>
                </c:pt>
                <c:pt idx="1">
                  <c:v>RJ</c:v>
                </c:pt>
                <c:pt idx="2">
                  <c:v>SP</c:v>
                </c:pt>
              </c:strCache>
            </c:strRef>
          </c:cat>
          <c:val>
            <c:numRef>
              <c:f>Analises!$B$11:$B$14</c:f>
              <c:numCache>
                <c:formatCode>_-[$R$-416]\ * #,##0.00_-;\-[$R$-416]\ * #,##0.00_-;_-[$R$-416]\ * "-"??_-;_-@_-</c:formatCode>
                <c:ptCount val="3"/>
                <c:pt idx="0">
                  <c:v>1316570</c:v>
                </c:pt>
                <c:pt idx="1">
                  <c:v>1111674</c:v>
                </c:pt>
                <c:pt idx="2">
                  <c:v>992283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E-4DDF-AAAC-B73A458B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4870847"/>
        <c:axId val="1444871327"/>
      </c:barChart>
      <c:catAx>
        <c:axId val="14448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4871327"/>
        <c:crosses val="autoZero"/>
        <c:auto val="1"/>
        <c:lblAlgn val="ctr"/>
        <c:lblOffset val="100"/>
        <c:noMultiLvlLbl val="0"/>
      </c:catAx>
      <c:valAx>
        <c:axId val="1444871327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444870847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AEAEA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[Dashboard_Juridico_Final.xlsx]Analises!processos_ano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Processos por Ano de Abertura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Analises!$A$20:$A$29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Analises!$B$20:$B$29</c:f>
              <c:numCache>
                <c:formatCode>General</c:formatCode>
                <c:ptCount val="9"/>
                <c:pt idx="0">
                  <c:v>1</c:v>
                </c:pt>
                <c:pt idx="1">
                  <c:v>11</c:v>
                </c:pt>
                <c:pt idx="2">
                  <c:v>18</c:v>
                </c:pt>
                <c:pt idx="3">
                  <c:v>25</c:v>
                </c:pt>
                <c:pt idx="4">
                  <c:v>21</c:v>
                </c:pt>
                <c:pt idx="5">
                  <c:v>38</c:v>
                </c:pt>
                <c:pt idx="6">
                  <c:v>23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5-489B-BAE4-DD54C0B4F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609487"/>
        <c:axId val="1459597967"/>
      </c:lineChart>
      <c:catAx>
        <c:axId val="145960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9597967"/>
        <c:crosses val="autoZero"/>
        <c:auto val="1"/>
        <c:lblAlgn val="ctr"/>
        <c:lblOffset val="100"/>
        <c:noMultiLvlLbl val="0"/>
      </c:catAx>
      <c:valAx>
        <c:axId val="14595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9609487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AEAEA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[Dashboard_Juridico_Final.xlsx]Analises!media_dias_tipo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Tempo</a:t>
            </a:r>
            <a:r>
              <a:rPr lang="en-US" b="1" baseline="0"/>
              <a:t> Médio dos Processos por Tipo 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Analises!$G$10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Analises!$F$11:$F$14</c:f>
              <c:strCache>
                <c:ptCount val="3"/>
                <c:pt idx="0">
                  <c:v>Cível</c:v>
                </c:pt>
                <c:pt idx="1">
                  <c:v>Consumidor</c:v>
                </c:pt>
                <c:pt idx="2">
                  <c:v>Trabalhista</c:v>
                </c:pt>
              </c:strCache>
            </c:strRef>
          </c:cat>
          <c:val>
            <c:numRef>
              <c:f>Analises!$G$11:$G$14</c:f>
              <c:numCache>
                <c:formatCode>0</c:formatCode>
                <c:ptCount val="3"/>
                <c:pt idx="0">
                  <c:v>460.32653061224488</c:v>
                </c:pt>
                <c:pt idx="1">
                  <c:v>494.24561403508773</c:v>
                </c:pt>
                <c:pt idx="2">
                  <c:v>538.86363636363637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E-4172-8793-F5109BF04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102895"/>
        <c:axId val="1268098095"/>
      </c:barChart>
      <c:catAx>
        <c:axId val="126810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8098095"/>
        <c:crosses val="autoZero"/>
        <c:auto val="1"/>
        <c:lblAlgn val="ctr"/>
        <c:lblOffset val="100"/>
        <c:noMultiLvlLbl val="0"/>
      </c:catAx>
      <c:valAx>
        <c:axId val="126809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8102895"/>
        <c:crosses val="autoZero"/>
        <c:crossBetween val="between"/>
      </c:valAx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AEAEA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[Dashboard_Juridico_Final.xlsx]Analises!processos_tipo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de Processos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75460591697874E-2"/>
              <c:y val="0.1593144128539130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BDEF472-8EF5-46E1-9E9A-2FD85A6EF132}" type="CATEGORYNAME">
                  <a:rPr lang="en-US"/>
                  <a:pPr>
                    <a:defRPr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[NOME DA CATEGORIA]</a:t>
                </a:fld>
                <a:r>
                  <a:rPr lang="en-US"/>
                  <a:t> -</a:t>
                </a:r>
                <a:r>
                  <a:rPr lang="en-US" baseline="0"/>
                  <a:t> </a:t>
                </a:r>
                <a:fld id="{8E9D9262-F576-4A96-8535-DD2D58F41897}" type="VALUE">
                  <a:rPr lang="en-US" baseline="0"/>
                  <a:pPr>
                    <a:defRPr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[VALOR]</a:t>
                </a:fld>
                <a:r>
                  <a:rPr lang="en-US" baseline="0"/>
                  <a:t> (</a:t>
                </a:r>
                <a:fld id="{93D6E1C2-6EC7-4492-BECB-8E75537C3B20}" type="PERCENTAGE">
                  <a:rPr lang="en-US" baseline="0"/>
                  <a:pPr>
                    <a:defRPr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626990800907174E-2"/>
              <c:y val="-6.94601128122481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77376A-8FE8-41F5-A6CD-9DFE2BF2CFA4}" type="CATEGORYNAME">
                  <a:rPr lang="en-US"/>
                  <a:pPr>
                    <a:defRPr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[NOME DA CATEGORIA]</a:t>
                </a:fld>
                <a:r>
                  <a:rPr lang="en-US" baseline="0"/>
                  <a:t> - </a:t>
                </a:r>
                <a:fld id="{5E2A1285-36BA-490A-A76F-16B3E040B056}" type="VALUE">
                  <a:rPr lang="en-US" baseline="0"/>
                  <a:pPr>
                    <a:defRPr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[VALOR]</a:t>
                </a:fld>
                <a:r>
                  <a:rPr lang="en-US" baseline="0"/>
                  <a:t> (</a:t>
                </a:r>
                <a:fld id="{DB51FA87-5247-439E-A773-E297A76B5B4E}" type="PERCENTAGE">
                  <a:rPr lang="en-US" baseline="0"/>
                  <a:pPr>
                    <a:defRPr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93239558647402E-2"/>
              <c:y val="2.662614393184735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AF924F3-5148-49E7-811D-081C44802A18}" type="CATEGORYNAME">
                  <a:rPr lang="en-US"/>
                  <a:pPr>
                    <a:defRPr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[NOME DA CATEGORIA]</a:t>
                </a:fld>
                <a:r>
                  <a:rPr lang="en-US"/>
                  <a:t> -</a:t>
                </a:r>
                <a:r>
                  <a:rPr lang="en-US" baseline="0"/>
                  <a:t> </a:t>
                </a:r>
                <a:fld id="{5E7D5BE9-276B-49E0-88DB-EE78A9F7442B}" type="VALUE">
                  <a:rPr lang="en-US" baseline="0"/>
                  <a:pPr>
                    <a:defRPr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[VALOR]</a:t>
                </a:fld>
                <a:r>
                  <a:rPr lang="en-US" baseline="0"/>
                  <a:t> (</a:t>
                </a:r>
                <a:fld id="{322DE68E-AB06-4C8A-BDE2-871FC054DC99}" type="PERCENTAGE">
                  <a:rPr lang="en-US" baseline="0"/>
                  <a:pPr>
                    <a:defRPr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F2-4504-B736-D9098F41EA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F2-4504-B736-D9098F41EA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F2-4504-B736-D9098F41EAA9}"/>
              </c:ext>
            </c:extLst>
          </c:dPt>
          <c:dLbls>
            <c:dLbl>
              <c:idx val="0"/>
              <c:layout>
                <c:manualLayout>
                  <c:x val="6.975460591697874E-2"/>
                  <c:y val="0.15931441285391301"/>
                </c:manualLayout>
              </c:layout>
              <c:tx>
                <c:rich>
                  <a:bodyPr/>
                  <a:lstStyle/>
                  <a:p>
                    <a:fld id="{EBDEF472-8EF5-46E1-9E9A-2FD85A6EF132}" type="CATEGORYNAME">
                      <a:rPr lang="en-US"/>
                      <a:pPr/>
                      <a:t>[NOME DA CATEGORIA]</a:t>
                    </a:fld>
                    <a:r>
                      <a:rPr lang="en-US"/>
                      <a:t> -</a:t>
                    </a:r>
                    <a:r>
                      <a:rPr lang="en-US" baseline="0"/>
                      <a:t> </a:t>
                    </a:r>
                    <a:fld id="{8E9D9262-F576-4A96-8535-DD2D58F41897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> (</a:t>
                    </a:r>
                    <a:fld id="{93D6E1C2-6EC7-4492-BECB-8E75537C3B20}" type="PERCENTAGE">
                      <a:rPr lang="en-US" baseline="0"/>
                      <a:pPr/>
                      <a:t>[PORCENTAGEM]</a:t>
                    </a:fld>
                    <a:r>
                      <a:rPr lang="en-US" baseline="0"/>
                      <a:t>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8F2-4504-B736-D9098F41EAA9}"/>
                </c:ext>
              </c:extLst>
            </c:dLbl>
            <c:dLbl>
              <c:idx val="1"/>
              <c:layout>
                <c:manualLayout>
                  <c:x val="-8.5626990800907174E-2"/>
                  <c:y val="-6.946011281224819E-2"/>
                </c:manualLayout>
              </c:layout>
              <c:tx>
                <c:rich>
                  <a:bodyPr/>
                  <a:lstStyle/>
                  <a:p>
                    <a:fld id="{1777376A-8FE8-41F5-A6CD-9DFE2BF2CFA4}" type="CATEGORYNAME">
                      <a:rPr lang="en-US"/>
                      <a:pPr/>
                      <a:t>[NOME DA CATEGORIA]</a:t>
                    </a:fld>
                    <a:r>
                      <a:rPr lang="en-US" baseline="0"/>
                      <a:t> - </a:t>
                    </a:r>
                    <a:fld id="{5E2A1285-36BA-490A-A76F-16B3E040B056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> (</a:t>
                    </a:r>
                    <a:fld id="{DB51FA87-5247-439E-A773-E297A76B5B4E}" type="PERCENTAGE">
                      <a:rPr lang="en-US" baseline="0"/>
                      <a:pPr/>
                      <a:t>[PORCENTAGEM]</a:t>
                    </a:fld>
                    <a:r>
                      <a:rPr lang="en-US" baseline="0"/>
                      <a:t>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8F2-4504-B736-D9098F41EAA9}"/>
                </c:ext>
              </c:extLst>
            </c:dLbl>
            <c:dLbl>
              <c:idx val="2"/>
              <c:layout>
                <c:manualLayout>
                  <c:x val="-3.093239558647402E-2"/>
                  <c:y val="2.6626143931847358E-2"/>
                </c:manualLayout>
              </c:layout>
              <c:tx>
                <c:rich>
                  <a:bodyPr/>
                  <a:lstStyle/>
                  <a:p>
                    <a:fld id="{CAF924F3-5148-49E7-811D-081C44802A18}" type="CATEGORYNAME">
                      <a:rPr lang="en-US"/>
                      <a:pPr/>
                      <a:t>[NOME DA CATEGORIA]</a:t>
                    </a:fld>
                    <a:r>
                      <a:rPr lang="en-US"/>
                      <a:t> -</a:t>
                    </a:r>
                    <a:r>
                      <a:rPr lang="en-US" baseline="0"/>
                      <a:t> </a:t>
                    </a:r>
                    <a:fld id="{5E7D5BE9-276B-49E0-88DB-EE78A9F7442B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> (</a:t>
                    </a:r>
                    <a:fld id="{322DE68E-AB06-4C8A-BDE2-871FC054DC99}" type="PERCENTAGE">
                      <a:rPr lang="en-US" baseline="0"/>
                      <a:pPr/>
                      <a:t>[PORCENTAGEM]</a:t>
                    </a:fld>
                    <a:r>
                      <a:rPr lang="en-US" baseline="0"/>
                      <a:t>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8F2-4504-B736-D9098F41EA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Analises!$A$2:$A$5</c:f>
              <c:strCache>
                <c:ptCount val="3"/>
                <c:pt idx="0">
                  <c:v>Consumidor</c:v>
                </c:pt>
                <c:pt idx="1">
                  <c:v>Cível</c:v>
                </c:pt>
                <c:pt idx="2">
                  <c:v>Trabalhista</c:v>
                </c:pt>
              </c:strCache>
            </c:strRef>
          </c:cat>
          <c:val>
            <c:numRef>
              <c:f>Analises!$B$2:$B$5</c:f>
              <c:numCache>
                <c:formatCode>General</c:formatCode>
                <c:ptCount val="3"/>
                <c:pt idx="0">
                  <c:v>57</c:v>
                </c:pt>
                <c:pt idx="1">
                  <c:v>49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F2-4504-B736-D9098F41E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AEAEA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[Dashboard_Juridico_Final.xlsx]Analises!processos_status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Status</a:t>
            </a:r>
            <a:r>
              <a:rPr lang="en-US" b="1" baseline="0"/>
              <a:t> dos Processo até 17/12/2025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71934395297362"/>
          <c:y val="0.19978327184626396"/>
          <c:w val="0.24772509887876917"/>
          <c:h val="0.7518370133803205"/>
        </c:manualLayout>
      </c:layout>
      <c:doughnutChart>
        <c:varyColors val="1"/>
        <c:ser>
          <c:idx val="0"/>
          <c:order val="0"/>
          <c:tx>
            <c:strRef>
              <c:f>Analises!$G$1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C7-43B2-B9BE-8823985D0C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C7-43B2-B9BE-8823985D0C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C7-43B2-B9BE-8823985D0C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Analises!$F$2:$F$5</c:f>
              <c:strCache>
                <c:ptCount val="3"/>
                <c:pt idx="0">
                  <c:v>Acordo</c:v>
                </c:pt>
                <c:pt idx="1">
                  <c:v>Em andamento</c:v>
                </c:pt>
                <c:pt idx="2">
                  <c:v>Encerrado</c:v>
                </c:pt>
              </c:strCache>
            </c:strRef>
          </c:cat>
          <c:val>
            <c:numRef>
              <c:f>Analises!$G$2:$G$5</c:f>
              <c:numCache>
                <c:formatCode>General</c:formatCode>
                <c:ptCount val="3"/>
                <c:pt idx="0">
                  <c:v>91</c:v>
                </c:pt>
                <c:pt idx="1">
                  <c:v>33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C7-43B2-B9BE-8823985D0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331608548931383"/>
          <c:y val="0.25304402739131293"/>
          <c:w val="0.26572691316811203"/>
          <c:h val="0.58270932217388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AEAEA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26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233923-BCAA-4855-AB08-2450DEE35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13</xdr:col>
      <xdr:colOff>967740</xdr:colOff>
      <xdr:row>39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E5AB54C-3088-4DF4-A673-7633369AB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6</xdr:col>
      <xdr:colOff>0</xdr:colOff>
      <xdr:row>53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046FC38-F781-4939-9BC6-E44E4052F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6AF2DFF-8D5A-4493-9704-0D31BF56A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</xdr:row>
      <xdr:rowOff>1</xdr:rowOff>
    </xdr:from>
    <xdr:to>
      <xdr:col>6</xdr:col>
      <xdr:colOff>0</xdr:colOff>
      <xdr:row>25</xdr:row>
      <xdr:rowOff>6350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ED0A11E-7B15-43EF-901E-3FDBFAE55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11</xdr:row>
      <xdr:rowOff>180974</xdr:rowOff>
    </xdr:from>
    <xdr:to>
      <xdr:col>14</xdr:col>
      <xdr:colOff>0</xdr:colOff>
      <xdr:row>24</xdr:row>
      <xdr:rowOff>180974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76398B9-A1CF-447D-A636-09F9DA7F8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495299</xdr:colOff>
      <xdr:row>12</xdr:row>
      <xdr:rowOff>57787</xdr:rowOff>
    </xdr:from>
    <xdr:to>
      <xdr:col>18</xdr:col>
      <xdr:colOff>514984</xdr:colOff>
      <xdr:row>18</xdr:row>
      <xdr:rowOff>129540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tatus">
              <a:extLst>
                <a:ext uri="{FF2B5EF4-FFF2-40B4-BE49-F238E27FC236}">
                  <a16:creationId xmlns:a16="http://schemas.microsoft.com/office/drawing/2014/main" id="{F4335D47-4F2E-46F3-9F11-516B72D280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299" y="2693763"/>
              <a:ext cx="2465161" cy="1140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497205</xdr:colOff>
      <xdr:row>19</xdr:row>
      <xdr:rowOff>93345</xdr:rowOff>
    </xdr:from>
    <xdr:to>
      <xdr:col>18</xdr:col>
      <xdr:colOff>516043</xdr:colOff>
      <xdr:row>24</xdr:row>
      <xdr:rowOff>78106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Tipo_Processo">
              <a:extLst>
                <a:ext uri="{FF2B5EF4-FFF2-40B4-BE49-F238E27FC236}">
                  <a16:creationId xmlns:a16="http://schemas.microsoft.com/office/drawing/2014/main" id="{9A91E219-C150-47F9-9638-FFAA6645AA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Process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3205" y="3975191"/>
              <a:ext cx="2464314" cy="865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500096</xdr:colOff>
      <xdr:row>25</xdr:row>
      <xdr:rowOff>79673</xdr:rowOff>
    </xdr:from>
    <xdr:to>
      <xdr:col>18</xdr:col>
      <xdr:colOff>497628</xdr:colOff>
      <xdr:row>32</xdr:row>
      <xdr:rowOff>73960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Responsável">
              <a:extLst>
                <a:ext uri="{FF2B5EF4-FFF2-40B4-BE49-F238E27FC236}">
                  <a16:creationId xmlns:a16="http://schemas.microsoft.com/office/drawing/2014/main" id="{C47E3299-2498-4087-8C98-00B38EF511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áv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8001" y="5019066"/>
              <a:ext cx="2444913" cy="12325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514066</xdr:colOff>
      <xdr:row>38</xdr:row>
      <xdr:rowOff>91627</xdr:rowOff>
    </xdr:from>
    <xdr:to>
      <xdr:col>18</xdr:col>
      <xdr:colOff>515685</xdr:colOff>
      <xdr:row>45</xdr:row>
      <xdr:rowOff>59877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Ano_Abertura">
              <a:extLst>
                <a:ext uri="{FF2B5EF4-FFF2-40B4-BE49-F238E27FC236}">
                  <a16:creationId xmlns:a16="http://schemas.microsoft.com/office/drawing/2014/main" id="{16CDBD57-5E0F-4F0E-90DD-0FD70FD2EB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_Aber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33876" y="7334437"/>
              <a:ext cx="2443285" cy="1198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505497</xdr:colOff>
      <xdr:row>33</xdr:row>
      <xdr:rowOff>55580</xdr:rowOff>
    </xdr:from>
    <xdr:to>
      <xdr:col>18</xdr:col>
      <xdr:colOff>514417</xdr:colOff>
      <xdr:row>37</xdr:row>
      <xdr:rowOff>58119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Região">
              <a:extLst>
                <a:ext uri="{FF2B5EF4-FFF2-40B4-BE49-F238E27FC236}">
                  <a16:creationId xmlns:a16="http://schemas.microsoft.com/office/drawing/2014/main" id="{50603036-F4AA-496B-BB50-E698EEC7FD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3402" y="6413926"/>
              <a:ext cx="2452491" cy="702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0.77184</cdr:x>
      <cdr:y>0.89032</cdr:y>
    </cdr:from>
    <cdr:to>
      <cdr:x>1</cdr:x>
      <cdr:y>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A7C80C9C-F454-DD17-BF0A-93530F84B76D}"/>
            </a:ext>
          </a:extLst>
        </cdr:cNvPr>
        <cdr:cNvSpPr txBox="1"/>
      </cdr:nvSpPr>
      <cdr:spPr>
        <a:xfrm xmlns:a="http://schemas.openxmlformats.org/drawingml/2006/main">
          <a:off x="4543425" y="2111603"/>
          <a:ext cx="1343025" cy="2601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900">
              <a:effectLst/>
              <a:latin typeface="+mn-lt"/>
              <a:ea typeface="+mn-ea"/>
              <a:cs typeface="+mn-cs"/>
            </a:rPr>
            <a:t>Total: 150 Processos</a:t>
          </a:r>
          <a:endParaRPr lang="pt-BR" sz="900">
            <a:effectLst/>
          </a:endParaRPr>
        </a:p>
        <a:p xmlns:a="http://schemas.openxmlformats.org/drawingml/2006/main">
          <a:endParaRPr lang="pt-BR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0.80305</cdr:x>
      <cdr:y>0.88722</cdr:y>
    </cdr:from>
    <cdr:to>
      <cdr:x>1</cdr:x>
      <cdr:y>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ACB58E8-56A9-D480-9622-C00A2AFD49B0}"/>
            </a:ext>
          </a:extLst>
        </cdr:cNvPr>
        <cdr:cNvSpPr txBox="1"/>
      </cdr:nvSpPr>
      <cdr:spPr>
        <a:xfrm xmlns:a="http://schemas.openxmlformats.org/drawingml/2006/main">
          <a:off x="5514975" y="2247900"/>
          <a:ext cx="13525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900" kern="1200"/>
            <a:t>Total: 150 Processos</a:t>
          </a:r>
        </a:p>
      </cdr:txBody>
    </cdr:sp>
  </cdr:relSizeAnchor>
  <cdr:relSizeAnchor xmlns:cdr="http://schemas.openxmlformats.org/drawingml/2006/chartDrawing">
    <cdr:from>
      <cdr:x>0</cdr:x>
      <cdr:y>0.75689</cdr:y>
    </cdr:from>
    <cdr:to>
      <cdr:x>0.19695</cdr:x>
      <cdr:y>0.86967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11402618-25B5-0D05-9727-D870D99DC62A}"/>
            </a:ext>
          </a:extLst>
        </cdr:cNvPr>
        <cdr:cNvSpPr txBox="1"/>
      </cdr:nvSpPr>
      <cdr:spPr>
        <a:xfrm xmlns:a="http://schemas.openxmlformats.org/drawingml/2006/main">
          <a:off x="0" y="1917700"/>
          <a:ext cx="13525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9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ipe Cunha" refreshedDate="46150.48747777778" createdVersion="8" refreshedVersion="8" minRefreshableVersion="3" recordCount="150" xr:uid="{095D9CEE-8A53-4797-9389-7F0F935F5593}">
  <cacheSource type="worksheet">
    <worksheetSource name="tb_processos"/>
  </cacheSource>
  <cacheFields count="11">
    <cacheField name="ID_Processo" numFmtId="0">
      <sharedItems containsSemiMixedTypes="0" containsString="0" containsNumber="1" containsInteger="1" minValue="1" maxValue="150"/>
    </cacheField>
    <cacheField name="Tipo_Processo" numFmtId="0">
      <sharedItems count="3">
        <s v="Trabalhista"/>
        <s v="Consumidor"/>
        <s v="Cível"/>
      </sharedItems>
    </cacheField>
    <cacheField name="Status" numFmtId="0">
      <sharedItems count="3">
        <s v="Acordo"/>
        <s v="Encerrado"/>
        <s v="Em andamento"/>
      </sharedItems>
    </cacheField>
    <cacheField name="Valor_Causa" numFmtId="164">
      <sharedItems containsSemiMixedTypes="0" containsString="0" containsNumber="1" containsInteger="1" minValue="6595" maxValue="198799"/>
    </cacheField>
    <cacheField name="Economia_Acordo" numFmtId="164">
      <sharedItems containsSemiMixedTypes="0" containsString="0" containsNumber="1" containsInteger="1" minValue="0" maxValue="167790"/>
    </cacheField>
    <cacheField name="Tempo_Dias" numFmtId="0">
      <sharedItems containsSemiMixedTypes="0" containsString="0" containsNumber="1" containsInteger="1" minValue="31" maxValue="898"/>
    </cacheField>
    <cacheField name="Região" numFmtId="0">
      <sharedItems count="3">
        <s v="MG"/>
        <s v="RJ"/>
        <s v="SP"/>
      </sharedItems>
    </cacheField>
    <cacheField name="Responsável" numFmtId="0">
      <sharedItems count="5">
        <s v="Rogério"/>
        <s v="Vânia"/>
        <s v="Filipe"/>
        <s v="Alan"/>
        <s v="Ana Paula"/>
      </sharedItems>
    </cacheField>
    <cacheField name="Data_Abertura" numFmtId="14">
      <sharedItems containsSemiMixedTypes="0" containsNonDate="0" containsDate="1" containsString="0" minDate="2017-11-05T00:00:00" maxDate="2025-05-15T00:00:00" count="146">
        <d v="2022-02-21T00:00:00"/>
        <d v="2022-11-03T00:00:00"/>
        <d v="2022-01-14T00:00:00"/>
        <d v="2020-08-22T00:00:00"/>
        <d v="2018-12-10T00:00:00"/>
        <d v="2018-11-02T00:00:00"/>
        <d v="2023-07-04T00:00:00"/>
        <d v="2020-04-30T00:00:00"/>
        <d v="2021-09-30T00:00:00"/>
        <d v="2019-11-14T00:00:00"/>
        <d v="2022-04-24T00:00:00"/>
        <d v="2022-05-25T00:00:00"/>
        <d v="2022-11-04T00:00:00"/>
        <d v="2021-02-18T00:00:00"/>
        <d v="2019-11-23T00:00:00"/>
        <d v="2022-04-12T00:00:00"/>
        <d v="2018-07-02T00:00:00"/>
        <d v="2023-01-20T00:00:00"/>
        <d v="2018-12-12T00:00:00"/>
        <d v="2023-05-01T00:00:00"/>
        <d v="2022-02-10T00:00:00"/>
        <d v="2019-09-19T00:00:00"/>
        <d v="2023-02-02T00:00:00"/>
        <d v="2023-01-21T00:00:00"/>
        <d v="2022-12-20T00:00:00"/>
        <d v="2023-09-17T00:00:00"/>
        <d v="2020-03-27T00:00:00"/>
        <d v="2024-06-28T00:00:00"/>
        <d v="2024-05-12T00:00:00"/>
        <d v="2022-02-07T00:00:00"/>
        <d v="2019-04-20T00:00:00"/>
        <d v="2023-04-01T00:00:00"/>
        <d v="2022-10-16T00:00:00"/>
        <d v="2020-03-04T00:00:00"/>
        <d v="2022-04-03T00:00:00"/>
        <d v="2019-11-28T00:00:00"/>
        <d v="2023-05-15T00:00:00"/>
        <d v="2019-11-27T00:00:00"/>
        <d v="2023-11-19T00:00:00"/>
        <d v="2020-05-04T00:00:00"/>
        <d v="2021-07-03T00:00:00"/>
        <d v="2023-03-30T00:00:00"/>
        <d v="2022-12-17T00:00:00"/>
        <d v="2019-03-24T00:00:00"/>
        <d v="2023-10-13T00:00:00"/>
        <d v="2017-11-05T00:00:00"/>
        <d v="2021-07-01T00:00:00"/>
        <d v="2021-08-27T00:00:00"/>
        <d v="2025-01-10T00:00:00"/>
        <d v="2024-07-24T00:00:00"/>
        <d v="2022-06-11T00:00:00"/>
        <d v="2019-10-04T00:00:00"/>
        <d v="2022-06-17T00:00:00"/>
        <d v="2025-05-04T00:00:00"/>
        <d v="2019-03-06T00:00:00"/>
        <d v="2018-03-30T00:00:00"/>
        <d v="2022-01-07T00:00:00"/>
        <d v="2020-08-17T00:00:00"/>
        <d v="2022-03-06T00:00:00"/>
        <d v="2025-05-14T00:00:00"/>
        <d v="2019-09-02T00:00:00"/>
        <d v="2019-10-17T00:00:00"/>
        <d v="2023-05-27T00:00:00"/>
        <d v="2021-08-08T00:00:00"/>
        <d v="2022-05-02T00:00:00"/>
        <d v="2021-09-14T00:00:00"/>
        <d v="2022-11-24T00:00:00"/>
        <d v="2020-03-17T00:00:00"/>
        <d v="2020-08-30T00:00:00"/>
        <d v="2022-01-09T00:00:00"/>
        <d v="2020-01-19T00:00:00"/>
        <d v="2022-06-05T00:00:00"/>
        <d v="2022-03-05T00:00:00"/>
        <d v="2020-07-28T00:00:00"/>
        <d v="2019-10-29T00:00:00"/>
        <d v="2023-11-09T00:00:00"/>
        <d v="2021-02-01T00:00:00"/>
        <d v="2018-09-14T00:00:00"/>
        <d v="2023-01-22T00:00:00"/>
        <d v="2019-07-22T00:00:00"/>
        <d v="2021-11-09T00:00:00"/>
        <d v="2018-09-16T00:00:00"/>
        <d v="2022-01-27T00:00:00"/>
        <d v="2022-01-25T00:00:00"/>
        <d v="2023-12-31T00:00:00"/>
        <d v="2022-02-20T00:00:00"/>
        <d v="2021-01-07T00:00:00"/>
        <d v="2022-01-01T00:00:00"/>
        <d v="2018-05-04T00:00:00"/>
        <d v="2022-11-22T00:00:00"/>
        <d v="2021-04-01T00:00:00"/>
        <d v="2020-02-18T00:00:00"/>
        <d v="2022-04-30T00:00:00"/>
        <d v="2021-01-17T00:00:00"/>
        <d v="2021-08-21T00:00:00"/>
        <d v="2021-04-04T00:00:00"/>
        <d v="2023-07-19T00:00:00"/>
        <d v="2020-05-18T00:00:00"/>
        <d v="2022-05-22T00:00:00"/>
        <d v="2018-01-19T00:00:00"/>
        <d v="2019-08-14T00:00:00"/>
        <d v="2020-07-15T00:00:00"/>
        <d v="2024-04-26T00:00:00"/>
        <d v="2022-06-03T00:00:00"/>
        <d v="2019-03-07T00:00:00"/>
        <d v="2023-12-27T00:00:00"/>
        <d v="2021-09-05T00:00:00"/>
        <d v="2022-02-28T00:00:00"/>
        <d v="2021-06-27T00:00:00"/>
        <d v="2021-02-06T00:00:00"/>
        <d v="2023-08-23T00:00:00"/>
        <d v="2024-10-20T00:00:00"/>
        <d v="2024-01-25T00:00:00"/>
        <d v="2020-12-30T00:00:00"/>
        <d v="2018-09-12T00:00:00"/>
        <d v="2020-05-26T00:00:00"/>
        <d v="2024-04-05T00:00:00"/>
        <d v="2020-08-08T00:00:00"/>
        <d v="2024-01-23T00:00:00"/>
        <d v="2019-03-16T00:00:00"/>
        <d v="2020-08-28T00:00:00"/>
        <d v="2024-05-25T00:00:00"/>
        <d v="2020-10-24T00:00:00"/>
        <d v="2022-06-18T00:00:00"/>
        <d v="2018-05-02T00:00:00"/>
        <d v="2023-03-22T00:00:00"/>
        <d v="2020-05-10T00:00:00"/>
        <d v="2024-03-17T00:00:00"/>
        <d v="2020-07-10T00:00:00"/>
        <d v="2023-09-21T00:00:00"/>
        <d v="2021-01-19T00:00:00"/>
        <d v="2021-05-14T00:00:00"/>
        <d v="2020-10-01T00:00:00"/>
        <d v="2020-09-12T00:00:00"/>
        <d v="2020-11-08T00:00:00"/>
        <d v="2020-04-29T00:00:00"/>
        <d v="2020-10-10T00:00:00"/>
        <d v="2023-08-18T00:00:00"/>
        <d v="2023-02-17T00:00:00"/>
        <d v="2022-12-31T00:00:00"/>
        <d v="2021-08-23T00:00:00"/>
        <d v="2022-01-29T00:00:00"/>
        <d v="2022-08-31T00:00:00"/>
        <d v="2022-07-30T00:00:00"/>
        <d v="2022-08-13T00:00:00"/>
        <d v="2022-12-18T00:00:00"/>
      </sharedItems>
    </cacheField>
    <cacheField name="Data_Encerramento" numFmtId="14">
      <sharedItems containsNonDate="0" containsDate="1" containsString="0" containsBlank="1" minDate="2020-01-29T00:00:00" maxDate="2025-12-16T00:00:00"/>
    </cacheField>
    <cacheField name="Ano_Abertura" numFmtId="0">
      <sharedItems containsSemiMixedTypes="0" containsString="0" containsNumber="1" containsInteger="1" minValue="2017" maxValue="2025" count="9">
        <n v="2022"/>
        <n v="2020"/>
        <n v="2018"/>
        <n v="2023"/>
        <n v="2021"/>
        <n v="2019"/>
        <n v="2024"/>
        <n v="2017"/>
        <n v="2025"/>
      </sharedItems>
    </cacheField>
  </cacheFields>
  <extLst>
    <ext xmlns:x14="http://schemas.microsoft.com/office/spreadsheetml/2009/9/main" uri="{725AE2AE-9491-48be-B2B4-4EB974FC3084}">
      <x14:pivotCacheDefinition pivotCacheId="18573212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n v="58516"/>
    <n v="46328"/>
    <n v="611"/>
    <x v="0"/>
    <x v="0"/>
    <x v="0"/>
    <d v="2023-10-25T00:00:00"/>
    <x v="0"/>
  </r>
  <r>
    <n v="2"/>
    <x v="1"/>
    <x v="0"/>
    <n v="155050"/>
    <n v="33778"/>
    <n v="673"/>
    <x v="0"/>
    <x v="1"/>
    <x v="1"/>
    <d v="2024-09-06T00:00:00"/>
    <x v="0"/>
  </r>
  <r>
    <n v="3"/>
    <x v="2"/>
    <x v="1"/>
    <n v="7489"/>
    <n v="0"/>
    <n v="378"/>
    <x v="1"/>
    <x v="2"/>
    <x v="2"/>
    <d v="2023-01-27T00:00:00"/>
    <x v="0"/>
  </r>
  <r>
    <n v="4"/>
    <x v="0"/>
    <x v="0"/>
    <n v="103776"/>
    <n v="32058"/>
    <n v="520"/>
    <x v="1"/>
    <x v="2"/>
    <x v="3"/>
    <d v="2022-01-24T00:00:00"/>
    <x v="1"/>
  </r>
  <r>
    <n v="5"/>
    <x v="0"/>
    <x v="0"/>
    <n v="111471"/>
    <n v="46021"/>
    <n v="829"/>
    <x v="0"/>
    <x v="3"/>
    <x v="4"/>
    <d v="2021-03-18T00:00:00"/>
    <x v="2"/>
  </r>
  <r>
    <n v="6"/>
    <x v="1"/>
    <x v="0"/>
    <n v="156996"/>
    <n v="90170"/>
    <n v="557"/>
    <x v="0"/>
    <x v="2"/>
    <x v="5"/>
    <d v="2020-05-12T00:00:00"/>
    <x v="2"/>
  </r>
  <r>
    <n v="7"/>
    <x v="0"/>
    <x v="0"/>
    <n v="11001"/>
    <n v="6675"/>
    <n v="402"/>
    <x v="1"/>
    <x v="1"/>
    <x v="6"/>
    <d v="2024-08-09T00:00:00"/>
    <x v="3"/>
  </r>
  <r>
    <n v="8"/>
    <x v="2"/>
    <x v="0"/>
    <n v="61838"/>
    <n v="24752"/>
    <n v="847"/>
    <x v="0"/>
    <x v="0"/>
    <x v="7"/>
    <d v="2022-08-25T00:00:00"/>
    <x v="1"/>
  </r>
  <r>
    <n v="9"/>
    <x v="2"/>
    <x v="0"/>
    <n v="175160"/>
    <n v="26896"/>
    <n v="635"/>
    <x v="0"/>
    <x v="1"/>
    <x v="8"/>
    <d v="2023-06-27T00:00:00"/>
    <x v="4"/>
  </r>
  <r>
    <n v="10"/>
    <x v="1"/>
    <x v="0"/>
    <n v="175480"/>
    <n v="108270"/>
    <n v="435"/>
    <x v="0"/>
    <x v="3"/>
    <x v="9"/>
    <d v="2021-01-22T00:00:00"/>
    <x v="5"/>
  </r>
  <r>
    <n v="11"/>
    <x v="0"/>
    <x v="0"/>
    <n v="141332"/>
    <n v="41651"/>
    <n v="99"/>
    <x v="0"/>
    <x v="1"/>
    <x v="10"/>
    <d v="2022-08-01T00:00:00"/>
    <x v="0"/>
  </r>
  <r>
    <n v="12"/>
    <x v="0"/>
    <x v="0"/>
    <n v="50396"/>
    <n v="19078"/>
    <n v="819"/>
    <x v="2"/>
    <x v="0"/>
    <x v="11"/>
    <d v="2024-08-21T00:00:00"/>
    <x v="0"/>
  </r>
  <r>
    <n v="13"/>
    <x v="1"/>
    <x v="2"/>
    <n v="7574"/>
    <n v="0"/>
    <n v="859"/>
    <x v="2"/>
    <x v="2"/>
    <x v="12"/>
    <m/>
    <x v="0"/>
  </r>
  <r>
    <n v="14"/>
    <x v="2"/>
    <x v="0"/>
    <n v="61337"/>
    <n v="29958"/>
    <n v="533"/>
    <x v="0"/>
    <x v="0"/>
    <x v="13"/>
    <d v="2022-08-05T00:00:00"/>
    <x v="4"/>
  </r>
  <r>
    <n v="15"/>
    <x v="0"/>
    <x v="1"/>
    <n v="50305"/>
    <n v="0"/>
    <n v="650"/>
    <x v="1"/>
    <x v="4"/>
    <x v="14"/>
    <d v="2021-09-03T00:00:00"/>
    <x v="5"/>
  </r>
  <r>
    <n v="16"/>
    <x v="2"/>
    <x v="0"/>
    <n v="15607"/>
    <n v="2548"/>
    <n v="55"/>
    <x v="2"/>
    <x v="0"/>
    <x v="15"/>
    <d v="2022-06-06T00:00:00"/>
    <x v="0"/>
  </r>
  <r>
    <n v="17"/>
    <x v="0"/>
    <x v="0"/>
    <n v="102086"/>
    <n v="42273"/>
    <n v="749"/>
    <x v="0"/>
    <x v="1"/>
    <x v="16"/>
    <d v="2020-07-20T00:00:00"/>
    <x v="2"/>
  </r>
  <r>
    <n v="18"/>
    <x v="1"/>
    <x v="2"/>
    <n v="138825"/>
    <n v="0"/>
    <n v="199"/>
    <x v="2"/>
    <x v="1"/>
    <x v="17"/>
    <m/>
    <x v="3"/>
  </r>
  <r>
    <n v="19"/>
    <x v="2"/>
    <x v="0"/>
    <n v="34773"/>
    <n v="26670"/>
    <n v="603"/>
    <x v="0"/>
    <x v="3"/>
    <x v="18"/>
    <d v="2020-08-06T00:00:00"/>
    <x v="2"/>
  </r>
  <r>
    <n v="20"/>
    <x v="1"/>
    <x v="1"/>
    <n v="26189"/>
    <n v="0"/>
    <n v="798"/>
    <x v="0"/>
    <x v="2"/>
    <x v="19"/>
    <d v="2025-07-07T00:00:00"/>
    <x v="3"/>
  </r>
  <r>
    <n v="21"/>
    <x v="2"/>
    <x v="0"/>
    <n v="18990"/>
    <n v="12996"/>
    <n v="277"/>
    <x v="1"/>
    <x v="2"/>
    <x v="20"/>
    <d v="2022-11-14T00:00:00"/>
    <x v="0"/>
  </r>
  <r>
    <n v="22"/>
    <x v="0"/>
    <x v="2"/>
    <n v="17243"/>
    <n v="0"/>
    <n v="641"/>
    <x v="1"/>
    <x v="2"/>
    <x v="21"/>
    <m/>
    <x v="5"/>
  </r>
  <r>
    <n v="23"/>
    <x v="1"/>
    <x v="1"/>
    <n v="177838"/>
    <n v="0"/>
    <n v="868"/>
    <x v="1"/>
    <x v="4"/>
    <x v="22"/>
    <d v="2025-06-19T00:00:00"/>
    <x v="3"/>
  </r>
  <r>
    <n v="24"/>
    <x v="1"/>
    <x v="0"/>
    <n v="15888"/>
    <n v="31966"/>
    <n v="361"/>
    <x v="2"/>
    <x v="4"/>
    <x v="23"/>
    <d v="2024-01-17T00:00:00"/>
    <x v="3"/>
  </r>
  <r>
    <n v="25"/>
    <x v="2"/>
    <x v="2"/>
    <n v="51641"/>
    <n v="0"/>
    <n v="419"/>
    <x v="2"/>
    <x v="3"/>
    <x v="24"/>
    <m/>
    <x v="0"/>
  </r>
  <r>
    <n v="26"/>
    <x v="0"/>
    <x v="0"/>
    <n v="50332"/>
    <n v="41019"/>
    <n v="274"/>
    <x v="0"/>
    <x v="4"/>
    <x v="25"/>
    <d v="2024-06-17T00:00:00"/>
    <x v="3"/>
  </r>
  <r>
    <n v="27"/>
    <x v="0"/>
    <x v="2"/>
    <n v="132047"/>
    <n v="0"/>
    <n v="746"/>
    <x v="1"/>
    <x v="0"/>
    <x v="26"/>
    <m/>
    <x v="1"/>
  </r>
  <r>
    <n v="28"/>
    <x v="1"/>
    <x v="2"/>
    <n v="22900"/>
    <n v="0"/>
    <n v="31"/>
    <x v="1"/>
    <x v="4"/>
    <x v="27"/>
    <m/>
    <x v="6"/>
  </r>
  <r>
    <n v="29"/>
    <x v="2"/>
    <x v="1"/>
    <n v="86128"/>
    <n v="0"/>
    <n v="54"/>
    <x v="0"/>
    <x v="1"/>
    <x v="28"/>
    <d v="2024-07-05T00:00:00"/>
    <x v="6"/>
  </r>
  <r>
    <n v="30"/>
    <x v="2"/>
    <x v="2"/>
    <n v="119173"/>
    <n v="0"/>
    <n v="765"/>
    <x v="0"/>
    <x v="2"/>
    <x v="29"/>
    <m/>
    <x v="0"/>
  </r>
  <r>
    <n v="31"/>
    <x v="1"/>
    <x v="1"/>
    <n v="24656"/>
    <n v="0"/>
    <n v="451"/>
    <x v="1"/>
    <x v="1"/>
    <x v="30"/>
    <d v="2020-07-14T00:00:00"/>
    <x v="5"/>
  </r>
  <r>
    <n v="32"/>
    <x v="1"/>
    <x v="1"/>
    <n v="97833"/>
    <n v="0"/>
    <n v="577"/>
    <x v="0"/>
    <x v="0"/>
    <x v="31"/>
    <d v="2024-10-29T00:00:00"/>
    <x v="3"/>
  </r>
  <r>
    <n v="33"/>
    <x v="1"/>
    <x v="1"/>
    <n v="125685"/>
    <n v="0"/>
    <n v="355"/>
    <x v="1"/>
    <x v="3"/>
    <x v="32"/>
    <d v="2023-10-06T00:00:00"/>
    <x v="0"/>
  </r>
  <r>
    <n v="34"/>
    <x v="1"/>
    <x v="1"/>
    <n v="29053"/>
    <n v="0"/>
    <n v="516"/>
    <x v="0"/>
    <x v="3"/>
    <x v="33"/>
    <d v="2021-08-02T00:00:00"/>
    <x v="1"/>
  </r>
  <r>
    <n v="35"/>
    <x v="2"/>
    <x v="2"/>
    <n v="104485"/>
    <n v="0"/>
    <n v="841"/>
    <x v="0"/>
    <x v="0"/>
    <x v="34"/>
    <m/>
    <x v="0"/>
  </r>
  <r>
    <n v="36"/>
    <x v="1"/>
    <x v="2"/>
    <n v="24824"/>
    <n v="0"/>
    <n v="529"/>
    <x v="2"/>
    <x v="0"/>
    <x v="35"/>
    <m/>
    <x v="5"/>
  </r>
  <r>
    <n v="37"/>
    <x v="2"/>
    <x v="2"/>
    <n v="10711"/>
    <n v="0"/>
    <n v="289"/>
    <x v="1"/>
    <x v="4"/>
    <x v="36"/>
    <m/>
    <x v="3"/>
  </r>
  <r>
    <n v="38"/>
    <x v="1"/>
    <x v="1"/>
    <n v="80651"/>
    <n v="0"/>
    <n v="747"/>
    <x v="0"/>
    <x v="0"/>
    <x v="37"/>
    <d v="2021-12-13T00:00:00"/>
    <x v="5"/>
  </r>
  <r>
    <n v="39"/>
    <x v="0"/>
    <x v="1"/>
    <n v="112157"/>
    <n v="0"/>
    <n v="703"/>
    <x v="0"/>
    <x v="0"/>
    <x v="38"/>
    <d v="2025-10-22T00:00:00"/>
    <x v="3"/>
  </r>
  <r>
    <n v="40"/>
    <x v="0"/>
    <x v="2"/>
    <n v="52734"/>
    <n v="0"/>
    <n v="203"/>
    <x v="0"/>
    <x v="1"/>
    <x v="39"/>
    <m/>
    <x v="1"/>
  </r>
  <r>
    <n v="41"/>
    <x v="2"/>
    <x v="0"/>
    <n v="174212"/>
    <n v="12016"/>
    <n v="528"/>
    <x v="0"/>
    <x v="0"/>
    <x v="40"/>
    <d v="2022-12-13T00:00:00"/>
    <x v="4"/>
  </r>
  <r>
    <n v="42"/>
    <x v="1"/>
    <x v="0"/>
    <n v="26588"/>
    <n v="22395"/>
    <n v="676"/>
    <x v="2"/>
    <x v="4"/>
    <x v="41"/>
    <d v="2025-02-03T00:00:00"/>
    <x v="3"/>
  </r>
  <r>
    <n v="43"/>
    <x v="2"/>
    <x v="0"/>
    <n v="159033"/>
    <n v="47735"/>
    <n v="709"/>
    <x v="1"/>
    <x v="3"/>
    <x v="42"/>
    <d v="2024-11-25T00:00:00"/>
    <x v="0"/>
  </r>
  <r>
    <n v="44"/>
    <x v="1"/>
    <x v="2"/>
    <n v="174629"/>
    <n v="0"/>
    <n v="288"/>
    <x v="2"/>
    <x v="3"/>
    <x v="43"/>
    <m/>
    <x v="5"/>
  </r>
  <r>
    <n v="45"/>
    <x v="1"/>
    <x v="2"/>
    <n v="135051"/>
    <n v="0"/>
    <n v="444"/>
    <x v="1"/>
    <x v="0"/>
    <x v="44"/>
    <m/>
    <x v="3"/>
  </r>
  <r>
    <n v="46"/>
    <x v="0"/>
    <x v="1"/>
    <n v="159083"/>
    <n v="0"/>
    <n v="898"/>
    <x v="0"/>
    <x v="0"/>
    <x v="45"/>
    <d v="2020-04-21T00:00:00"/>
    <x v="7"/>
  </r>
  <r>
    <n v="47"/>
    <x v="0"/>
    <x v="1"/>
    <n v="157150"/>
    <n v="0"/>
    <n v="622"/>
    <x v="2"/>
    <x v="1"/>
    <x v="8"/>
    <d v="2023-06-14T00:00:00"/>
    <x v="4"/>
  </r>
  <r>
    <n v="48"/>
    <x v="1"/>
    <x v="1"/>
    <n v="53891"/>
    <n v="0"/>
    <n v="63"/>
    <x v="2"/>
    <x v="1"/>
    <x v="46"/>
    <d v="2021-09-02T00:00:00"/>
    <x v="4"/>
  </r>
  <r>
    <n v="49"/>
    <x v="2"/>
    <x v="2"/>
    <n v="178862"/>
    <n v="0"/>
    <n v="375"/>
    <x v="2"/>
    <x v="1"/>
    <x v="47"/>
    <m/>
    <x v="4"/>
  </r>
  <r>
    <n v="50"/>
    <x v="2"/>
    <x v="2"/>
    <n v="6684"/>
    <n v="0"/>
    <n v="283"/>
    <x v="0"/>
    <x v="2"/>
    <x v="48"/>
    <m/>
    <x v="8"/>
  </r>
  <r>
    <n v="51"/>
    <x v="1"/>
    <x v="0"/>
    <n v="189902"/>
    <n v="36153"/>
    <n v="330"/>
    <x v="2"/>
    <x v="4"/>
    <x v="49"/>
    <d v="2025-06-19T00:00:00"/>
    <x v="6"/>
  </r>
  <r>
    <n v="52"/>
    <x v="1"/>
    <x v="0"/>
    <n v="49467"/>
    <n v="13055"/>
    <n v="485"/>
    <x v="1"/>
    <x v="1"/>
    <x v="50"/>
    <d v="2023-10-09T00:00:00"/>
    <x v="0"/>
  </r>
  <r>
    <n v="53"/>
    <x v="1"/>
    <x v="0"/>
    <n v="45415"/>
    <n v="30980"/>
    <n v="391"/>
    <x v="2"/>
    <x v="0"/>
    <x v="51"/>
    <d v="2020-10-29T00:00:00"/>
    <x v="5"/>
  </r>
  <r>
    <n v="54"/>
    <x v="1"/>
    <x v="2"/>
    <n v="25332"/>
    <n v="0"/>
    <n v="412"/>
    <x v="2"/>
    <x v="4"/>
    <x v="52"/>
    <m/>
    <x v="0"/>
  </r>
  <r>
    <n v="55"/>
    <x v="2"/>
    <x v="0"/>
    <n v="147377"/>
    <n v="90120"/>
    <n v="145"/>
    <x v="0"/>
    <x v="0"/>
    <x v="53"/>
    <d v="2025-09-26T00:00:00"/>
    <x v="8"/>
  </r>
  <r>
    <n v="56"/>
    <x v="2"/>
    <x v="2"/>
    <n v="84818"/>
    <n v="0"/>
    <n v="845"/>
    <x v="0"/>
    <x v="1"/>
    <x v="54"/>
    <m/>
    <x v="5"/>
  </r>
  <r>
    <n v="57"/>
    <x v="1"/>
    <x v="0"/>
    <n v="30423"/>
    <n v="26074"/>
    <n v="738"/>
    <x v="0"/>
    <x v="2"/>
    <x v="55"/>
    <d v="2020-04-06T00:00:00"/>
    <x v="2"/>
  </r>
  <r>
    <n v="58"/>
    <x v="2"/>
    <x v="0"/>
    <n v="152472"/>
    <n v="22100"/>
    <n v="584"/>
    <x v="0"/>
    <x v="3"/>
    <x v="56"/>
    <d v="2023-08-14T00:00:00"/>
    <x v="0"/>
  </r>
  <r>
    <n v="59"/>
    <x v="1"/>
    <x v="0"/>
    <n v="33042"/>
    <n v="9654"/>
    <n v="189"/>
    <x v="1"/>
    <x v="1"/>
    <x v="57"/>
    <d v="2021-02-22T00:00:00"/>
    <x v="1"/>
  </r>
  <r>
    <n v="60"/>
    <x v="2"/>
    <x v="0"/>
    <n v="192327"/>
    <n v="45798"/>
    <n v="402"/>
    <x v="1"/>
    <x v="4"/>
    <x v="58"/>
    <d v="2023-04-12T00:00:00"/>
    <x v="0"/>
  </r>
  <r>
    <n v="61"/>
    <x v="0"/>
    <x v="0"/>
    <n v="11811"/>
    <n v="26066"/>
    <n v="215"/>
    <x v="2"/>
    <x v="0"/>
    <x v="59"/>
    <d v="2025-12-15T00:00:00"/>
    <x v="8"/>
  </r>
  <r>
    <n v="62"/>
    <x v="2"/>
    <x v="0"/>
    <n v="71636"/>
    <n v="12348"/>
    <n v="344"/>
    <x v="1"/>
    <x v="2"/>
    <x v="60"/>
    <d v="2020-08-11T00:00:00"/>
    <x v="5"/>
  </r>
  <r>
    <n v="63"/>
    <x v="1"/>
    <x v="0"/>
    <n v="176522"/>
    <n v="41391"/>
    <n v="571"/>
    <x v="2"/>
    <x v="1"/>
    <x v="61"/>
    <d v="2021-05-10T00:00:00"/>
    <x v="5"/>
  </r>
  <r>
    <n v="64"/>
    <x v="1"/>
    <x v="0"/>
    <n v="186509"/>
    <n v="22668"/>
    <n v="688"/>
    <x v="0"/>
    <x v="2"/>
    <x v="62"/>
    <d v="2025-04-14T00:00:00"/>
    <x v="3"/>
  </r>
  <r>
    <n v="65"/>
    <x v="2"/>
    <x v="0"/>
    <n v="80217"/>
    <n v="27409"/>
    <n v="425"/>
    <x v="1"/>
    <x v="4"/>
    <x v="63"/>
    <d v="2022-10-07T00:00:00"/>
    <x v="4"/>
  </r>
  <r>
    <n v="66"/>
    <x v="0"/>
    <x v="1"/>
    <n v="22188"/>
    <n v="0"/>
    <n v="149"/>
    <x v="0"/>
    <x v="0"/>
    <x v="64"/>
    <d v="2022-09-28T00:00:00"/>
    <x v="0"/>
  </r>
  <r>
    <n v="67"/>
    <x v="2"/>
    <x v="0"/>
    <n v="84710"/>
    <n v="2977"/>
    <n v="416"/>
    <x v="0"/>
    <x v="1"/>
    <x v="65"/>
    <d v="2022-11-04T00:00:00"/>
    <x v="4"/>
  </r>
  <r>
    <n v="68"/>
    <x v="1"/>
    <x v="0"/>
    <n v="115182"/>
    <n v="27240"/>
    <n v="645"/>
    <x v="1"/>
    <x v="4"/>
    <x v="66"/>
    <d v="2024-08-30T00:00:00"/>
    <x v="0"/>
  </r>
  <r>
    <n v="69"/>
    <x v="1"/>
    <x v="0"/>
    <n v="172568"/>
    <n v="85400"/>
    <n v="890"/>
    <x v="2"/>
    <x v="0"/>
    <x v="67"/>
    <d v="2022-08-24T00:00:00"/>
    <x v="1"/>
  </r>
  <r>
    <n v="70"/>
    <x v="1"/>
    <x v="0"/>
    <n v="38704"/>
    <n v="10149"/>
    <n v="451"/>
    <x v="1"/>
    <x v="4"/>
    <x v="68"/>
    <d v="2021-11-24T00:00:00"/>
    <x v="1"/>
  </r>
  <r>
    <n v="71"/>
    <x v="1"/>
    <x v="0"/>
    <n v="60218"/>
    <n v="22710"/>
    <n v="281"/>
    <x v="1"/>
    <x v="2"/>
    <x v="69"/>
    <d v="2022-10-17T00:00:00"/>
    <x v="0"/>
  </r>
  <r>
    <n v="72"/>
    <x v="0"/>
    <x v="0"/>
    <n v="108917"/>
    <n v="49368"/>
    <n v="164"/>
    <x v="2"/>
    <x v="1"/>
    <x v="70"/>
    <d v="2020-07-01T00:00:00"/>
    <x v="1"/>
  </r>
  <r>
    <n v="73"/>
    <x v="2"/>
    <x v="0"/>
    <n v="101394"/>
    <n v="14702"/>
    <n v="656"/>
    <x v="0"/>
    <x v="0"/>
    <x v="71"/>
    <d v="2024-03-22T00:00:00"/>
    <x v="0"/>
  </r>
  <r>
    <n v="74"/>
    <x v="0"/>
    <x v="2"/>
    <n v="11778"/>
    <n v="0"/>
    <n v="450"/>
    <x v="2"/>
    <x v="1"/>
    <x v="72"/>
    <d v="2023-05-29T00:00:00"/>
    <x v="0"/>
  </r>
  <r>
    <n v="75"/>
    <x v="0"/>
    <x v="1"/>
    <n v="136103"/>
    <n v="0"/>
    <n v="749"/>
    <x v="2"/>
    <x v="0"/>
    <x v="73"/>
    <d v="2022-08-16T00:00:00"/>
    <x v="1"/>
  </r>
  <r>
    <n v="76"/>
    <x v="0"/>
    <x v="1"/>
    <n v="198799"/>
    <n v="0"/>
    <n v="377"/>
    <x v="1"/>
    <x v="4"/>
    <x v="74"/>
    <d v="2020-11-09T00:00:00"/>
    <x v="5"/>
  </r>
  <r>
    <n v="77"/>
    <x v="2"/>
    <x v="1"/>
    <n v="165433"/>
    <n v="0"/>
    <n v="70"/>
    <x v="1"/>
    <x v="4"/>
    <x v="75"/>
    <d v="2024-01-18T00:00:00"/>
    <x v="3"/>
  </r>
  <r>
    <n v="78"/>
    <x v="1"/>
    <x v="2"/>
    <n v="58122"/>
    <n v="0"/>
    <n v="81"/>
    <x v="1"/>
    <x v="4"/>
    <x v="76"/>
    <m/>
    <x v="4"/>
  </r>
  <r>
    <n v="79"/>
    <x v="2"/>
    <x v="2"/>
    <n v="171423"/>
    <n v="0"/>
    <n v="598"/>
    <x v="1"/>
    <x v="0"/>
    <x v="77"/>
    <m/>
    <x v="2"/>
  </r>
  <r>
    <n v="80"/>
    <x v="0"/>
    <x v="1"/>
    <n v="23429"/>
    <n v="0"/>
    <n v="477"/>
    <x v="1"/>
    <x v="1"/>
    <x v="78"/>
    <d v="2024-05-13T00:00:00"/>
    <x v="3"/>
  </r>
  <r>
    <n v="81"/>
    <x v="1"/>
    <x v="0"/>
    <n v="145706"/>
    <n v="17596"/>
    <n v="672"/>
    <x v="1"/>
    <x v="4"/>
    <x v="79"/>
    <d v="2021-05-24T00:00:00"/>
    <x v="5"/>
  </r>
  <r>
    <n v="82"/>
    <x v="1"/>
    <x v="2"/>
    <n v="73643"/>
    <n v="0"/>
    <n v="344"/>
    <x v="2"/>
    <x v="4"/>
    <x v="80"/>
    <d v="2022-10-19T00:00:00"/>
    <x v="4"/>
  </r>
  <r>
    <n v="83"/>
    <x v="1"/>
    <x v="2"/>
    <n v="82060"/>
    <n v="0"/>
    <n v="877"/>
    <x v="2"/>
    <x v="0"/>
    <x v="81"/>
    <d v="2021-02-09T00:00:00"/>
    <x v="2"/>
  </r>
  <r>
    <n v="84"/>
    <x v="1"/>
    <x v="1"/>
    <n v="145228"/>
    <n v="0"/>
    <n v="279"/>
    <x v="2"/>
    <x v="0"/>
    <x v="82"/>
    <d v="2022-11-02T00:00:00"/>
    <x v="0"/>
  </r>
  <r>
    <n v="85"/>
    <x v="1"/>
    <x v="1"/>
    <n v="131670"/>
    <n v="0"/>
    <n v="626"/>
    <x v="2"/>
    <x v="3"/>
    <x v="83"/>
    <d v="2023-10-13T00:00:00"/>
    <x v="0"/>
  </r>
  <r>
    <n v="86"/>
    <x v="0"/>
    <x v="2"/>
    <n v="180094"/>
    <n v="0"/>
    <n v="150"/>
    <x v="1"/>
    <x v="1"/>
    <x v="84"/>
    <m/>
    <x v="3"/>
  </r>
  <r>
    <n v="87"/>
    <x v="0"/>
    <x v="1"/>
    <n v="94031"/>
    <n v="0"/>
    <n v="806"/>
    <x v="1"/>
    <x v="4"/>
    <x v="85"/>
    <d v="2024-05-06T00:00:00"/>
    <x v="0"/>
  </r>
  <r>
    <n v="88"/>
    <x v="2"/>
    <x v="2"/>
    <n v="82076"/>
    <n v="0"/>
    <n v="869"/>
    <x v="0"/>
    <x v="2"/>
    <x v="86"/>
    <m/>
    <x v="4"/>
  </r>
  <r>
    <n v="89"/>
    <x v="1"/>
    <x v="2"/>
    <n v="121239"/>
    <n v="0"/>
    <n v="444"/>
    <x v="0"/>
    <x v="4"/>
    <x v="87"/>
    <m/>
    <x v="0"/>
  </r>
  <r>
    <n v="90"/>
    <x v="0"/>
    <x v="1"/>
    <n v="23758"/>
    <n v="0"/>
    <n v="857"/>
    <x v="2"/>
    <x v="0"/>
    <x v="88"/>
    <d v="2020-09-07T00:00:00"/>
    <x v="2"/>
  </r>
  <r>
    <n v="91"/>
    <x v="1"/>
    <x v="2"/>
    <n v="105269"/>
    <n v="0"/>
    <n v="454"/>
    <x v="0"/>
    <x v="0"/>
    <x v="89"/>
    <m/>
    <x v="0"/>
  </r>
  <r>
    <n v="92"/>
    <x v="2"/>
    <x v="1"/>
    <n v="148320"/>
    <n v="0"/>
    <n v="875"/>
    <x v="0"/>
    <x v="2"/>
    <x v="90"/>
    <d v="2023-08-24T00:00:00"/>
    <x v="4"/>
  </r>
  <r>
    <n v="93"/>
    <x v="1"/>
    <x v="0"/>
    <n v="175665"/>
    <n v="91640"/>
    <n v="857"/>
    <x v="0"/>
    <x v="3"/>
    <x v="91"/>
    <d v="2022-06-24T00:00:00"/>
    <x v="1"/>
  </r>
  <r>
    <n v="94"/>
    <x v="0"/>
    <x v="0"/>
    <n v="114776"/>
    <n v="39716"/>
    <n v="307"/>
    <x v="2"/>
    <x v="3"/>
    <x v="92"/>
    <d v="2023-03-03T00:00:00"/>
    <x v="0"/>
  </r>
  <r>
    <n v="95"/>
    <x v="2"/>
    <x v="0"/>
    <n v="160788"/>
    <n v="41575"/>
    <n v="491"/>
    <x v="1"/>
    <x v="0"/>
    <x v="93"/>
    <d v="2022-05-23T00:00:00"/>
    <x v="4"/>
  </r>
  <r>
    <n v="96"/>
    <x v="2"/>
    <x v="0"/>
    <n v="93578"/>
    <n v="32323"/>
    <n v="699"/>
    <x v="0"/>
    <x v="2"/>
    <x v="17"/>
    <d v="2024-12-19T00:00:00"/>
    <x v="3"/>
  </r>
  <r>
    <n v="97"/>
    <x v="1"/>
    <x v="0"/>
    <n v="176113"/>
    <n v="46940"/>
    <n v="723"/>
    <x v="1"/>
    <x v="3"/>
    <x v="94"/>
    <d v="2023-08-14T00:00:00"/>
    <x v="4"/>
  </r>
  <r>
    <n v="98"/>
    <x v="0"/>
    <x v="0"/>
    <n v="191734"/>
    <n v="167790"/>
    <n v="712"/>
    <x v="1"/>
    <x v="3"/>
    <x v="95"/>
    <d v="2023-03-17T00:00:00"/>
    <x v="4"/>
  </r>
  <r>
    <n v="99"/>
    <x v="0"/>
    <x v="0"/>
    <n v="31762"/>
    <n v="17979"/>
    <n v="859"/>
    <x v="0"/>
    <x v="0"/>
    <x v="96"/>
    <d v="2025-11-24T00:00:00"/>
    <x v="3"/>
  </r>
  <r>
    <n v="100"/>
    <x v="2"/>
    <x v="0"/>
    <n v="154569"/>
    <n v="12191"/>
    <n v="889"/>
    <x v="0"/>
    <x v="2"/>
    <x v="97"/>
    <d v="2022-10-24T00:00:00"/>
    <x v="1"/>
  </r>
  <r>
    <n v="101"/>
    <x v="2"/>
    <x v="0"/>
    <n v="72712"/>
    <n v="17599"/>
    <n v="472"/>
    <x v="2"/>
    <x v="3"/>
    <x v="98"/>
    <d v="2023-09-06T00:00:00"/>
    <x v="0"/>
  </r>
  <r>
    <n v="102"/>
    <x v="1"/>
    <x v="2"/>
    <n v="63111"/>
    <n v="0"/>
    <n v="738"/>
    <x v="0"/>
    <x v="4"/>
    <x v="99"/>
    <m/>
    <x v="2"/>
  </r>
  <r>
    <n v="103"/>
    <x v="1"/>
    <x v="1"/>
    <n v="59353"/>
    <n v="0"/>
    <n v="278"/>
    <x v="0"/>
    <x v="2"/>
    <x v="100"/>
    <d v="2020-05-18T00:00:00"/>
    <x v="5"/>
  </r>
  <r>
    <n v="104"/>
    <x v="1"/>
    <x v="0"/>
    <n v="189625"/>
    <n v="24830"/>
    <n v="475"/>
    <x v="1"/>
    <x v="2"/>
    <x v="101"/>
    <d v="2021-11-02T00:00:00"/>
    <x v="1"/>
  </r>
  <r>
    <n v="105"/>
    <x v="2"/>
    <x v="0"/>
    <n v="125782"/>
    <n v="46016"/>
    <n v="206"/>
    <x v="0"/>
    <x v="1"/>
    <x v="102"/>
    <d v="2024-11-18T00:00:00"/>
    <x v="6"/>
  </r>
  <r>
    <n v="106"/>
    <x v="1"/>
    <x v="0"/>
    <n v="81836"/>
    <n v="25625"/>
    <n v="69"/>
    <x v="1"/>
    <x v="4"/>
    <x v="103"/>
    <d v="2022-08-11T00:00:00"/>
    <x v="0"/>
  </r>
  <r>
    <n v="107"/>
    <x v="2"/>
    <x v="0"/>
    <n v="156534"/>
    <n v="34671"/>
    <n v="641"/>
    <x v="0"/>
    <x v="3"/>
    <x v="104"/>
    <d v="2020-12-07T00:00:00"/>
    <x v="5"/>
  </r>
  <r>
    <n v="108"/>
    <x v="2"/>
    <x v="0"/>
    <n v="180005"/>
    <n v="9627"/>
    <n v="349"/>
    <x v="1"/>
    <x v="4"/>
    <x v="105"/>
    <d v="2024-12-10T00:00:00"/>
    <x v="3"/>
  </r>
  <r>
    <n v="109"/>
    <x v="1"/>
    <x v="0"/>
    <n v="106625"/>
    <n v="18039"/>
    <n v="348"/>
    <x v="1"/>
    <x v="2"/>
    <x v="106"/>
    <d v="2022-08-19T00:00:00"/>
    <x v="4"/>
  </r>
  <r>
    <n v="110"/>
    <x v="0"/>
    <x v="2"/>
    <n v="37608"/>
    <n v="0"/>
    <n v="123"/>
    <x v="0"/>
    <x v="3"/>
    <x v="107"/>
    <m/>
    <x v="0"/>
  </r>
  <r>
    <n v="111"/>
    <x v="0"/>
    <x v="0"/>
    <n v="191228"/>
    <n v="26490"/>
    <n v="257"/>
    <x v="2"/>
    <x v="4"/>
    <x v="108"/>
    <d v="2022-03-11T00:00:00"/>
    <x v="4"/>
  </r>
  <r>
    <n v="112"/>
    <x v="1"/>
    <x v="0"/>
    <n v="166344"/>
    <n v="25924"/>
    <n v="782"/>
    <x v="2"/>
    <x v="3"/>
    <x v="109"/>
    <d v="2023-03-30T00:00:00"/>
    <x v="4"/>
  </r>
  <r>
    <n v="113"/>
    <x v="2"/>
    <x v="0"/>
    <n v="152233"/>
    <n v="30042"/>
    <n v="50"/>
    <x v="0"/>
    <x v="0"/>
    <x v="110"/>
    <d v="2023-10-12T00:00:00"/>
    <x v="3"/>
  </r>
  <r>
    <n v="114"/>
    <x v="2"/>
    <x v="0"/>
    <n v="50367"/>
    <n v="42226"/>
    <n v="416"/>
    <x v="0"/>
    <x v="1"/>
    <x v="111"/>
    <d v="2025-12-10T00:00:00"/>
    <x v="6"/>
  </r>
  <r>
    <n v="115"/>
    <x v="1"/>
    <x v="0"/>
    <n v="160327"/>
    <n v="47839"/>
    <n v="461"/>
    <x v="2"/>
    <x v="3"/>
    <x v="112"/>
    <d v="2025-04-30T00:00:00"/>
    <x v="6"/>
  </r>
  <r>
    <n v="116"/>
    <x v="2"/>
    <x v="0"/>
    <n v="142783"/>
    <n v="18539"/>
    <n v="182"/>
    <x v="0"/>
    <x v="4"/>
    <x v="113"/>
    <d v="2021-06-30T00:00:00"/>
    <x v="1"/>
  </r>
  <r>
    <n v="117"/>
    <x v="0"/>
    <x v="0"/>
    <n v="135123"/>
    <n v="40510"/>
    <n v="831"/>
    <x v="1"/>
    <x v="0"/>
    <x v="114"/>
    <d v="2020-12-21T00:00:00"/>
    <x v="2"/>
  </r>
  <r>
    <n v="118"/>
    <x v="0"/>
    <x v="0"/>
    <n v="141926"/>
    <n v="33842"/>
    <n v="479"/>
    <x v="0"/>
    <x v="4"/>
    <x v="115"/>
    <d v="2021-09-17T00:00:00"/>
    <x v="1"/>
  </r>
  <r>
    <n v="119"/>
    <x v="1"/>
    <x v="0"/>
    <n v="186365"/>
    <n v="89560"/>
    <n v="530"/>
    <x v="1"/>
    <x v="2"/>
    <x v="116"/>
    <d v="2025-09-17T00:00:00"/>
    <x v="6"/>
  </r>
  <r>
    <n v="120"/>
    <x v="1"/>
    <x v="0"/>
    <n v="126461"/>
    <n v="25448"/>
    <n v="366"/>
    <x v="0"/>
    <x v="4"/>
    <x v="117"/>
    <d v="2021-08-09T00:00:00"/>
    <x v="1"/>
  </r>
  <r>
    <n v="121"/>
    <x v="2"/>
    <x v="0"/>
    <n v="140435"/>
    <n v="37560"/>
    <n v="273"/>
    <x v="0"/>
    <x v="2"/>
    <x v="79"/>
    <d v="2020-04-20T00:00:00"/>
    <x v="5"/>
  </r>
  <r>
    <n v="122"/>
    <x v="2"/>
    <x v="0"/>
    <n v="122351"/>
    <n v="44497"/>
    <n v="237"/>
    <x v="2"/>
    <x v="2"/>
    <x v="118"/>
    <d v="2024-09-16T00:00:00"/>
    <x v="6"/>
  </r>
  <r>
    <n v="123"/>
    <x v="0"/>
    <x v="2"/>
    <n v="10470"/>
    <n v="0"/>
    <n v="438"/>
    <x v="2"/>
    <x v="3"/>
    <x v="119"/>
    <m/>
    <x v="5"/>
  </r>
  <r>
    <n v="124"/>
    <x v="0"/>
    <x v="0"/>
    <n v="122932"/>
    <n v="18200"/>
    <n v="825"/>
    <x v="0"/>
    <x v="4"/>
    <x v="120"/>
    <d v="2022-12-01T00:00:00"/>
    <x v="1"/>
  </r>
  <r>
    <n v="125"/>
    <x v="2"/>
    <x v="0"/>
    <n v="66327"/>
    <n v="26100"/>
    <n v="328"/>
    <x v="2"/>
    <x v="3"/>
    <x v="121"/>
    <d v="2025-04-18T00:00:00"/>
    <x v="6"/>
  </r>
  <r>
    <n v="126"/>
    <x v="2"/>
    <x v="0"/>
    <n v="182445"/>
    <n v="45209"/>
    <n v="485"/>
    <x v="2"/>
    <x v="0"/>
    <x v="122"/>
    <d v="2022-02-21T00:00:00"/>
    <x v="1"/>
  </r>
  <r>
    <n v="127"/>
    <x v="1"/>
    <x v="0"/>
    <n v="75728"/>
    <n v="35860"/>
    <n v="878"/>
    <x v="1"/>
    <x v="2"/>
    <x v="123"/>
    <d v="2024-11-12T00:00:00"/>
    <x v="0"/>
  </r>
  <r>
    <n v="128"/>
    <x v="0"/>
    <x v="0"/>
    <n v="144003"/>
    <n v="27008"/>
    <n v="637"/>
    <x v="2"/>
    <x v="0"/>
    <x v="124"/>
    <d v="2020-01-29T00:00:00"/>
    <x v="2"/>
  </r>
  <r>
    <n v="129"/>
    <x v="1"/>
    <x v="0"/>
    <n v="84459"/>
    <n v="25406"/>
    <n v="793"/>
    <x v="1"/>
    <x v="0"/>
    <x v="125"/>
    <d v="2025-05-23T00:00:00"/>
    <x v="3"/>
  </r>
  <r>
    <n v="130"/>
    <x v="1"/>
    <x v="0"/>
    <n v="162761"/>
    <n v="30318"/>
    <n v="227"/>
    <x v="0"/>
    <x v="3"/>
    <x v="126"/>
    <d v="2020-12-23T00:00:00"/>
    <x v="1"/>
  </r>
  <r>
    <n v="131"/>
    <x v="2"/>
    <x v="0"/>
    <n v="74840"/>
    <n v="41360"/>
    <n v="172"/>
    <x v="1"/>
    <x v="1"/>
    <x v="127"/>
    <d v="2024-09-05T00:00:00"/>
    <x v="6"/>
  </r>
  <r>
    <n v="132"/>
    <x v="1"/>
    <x v="0"/>
    <n v="80019"/>
    <n v="13961"/>
    <n v="136"/>
    <x v="1"/>
    <x v="4"/>
    <x v="128"/>
    <d v="2020-11-23T00:00:00"/>
    <x v="1"/>
  </r>
  <r>
    <n v="133"/>
    <x v="0"/>
    <x v="0"/>
    <n v="117938"/>
    <n v="43510"/>
    <n v="697"/>
    <x v="0"/>
    <x v="3"/>
    <x v="129"/>
    <d v="2025-08-18T00:00:00"/>
    <x v="3"/>
  </r>
  <r>
    <n v="134"/>
    <x v="2"/>
    <x v="0"/>
    <n v="69965"/>
    <n v="29368"/>
    <n v="391"/>
    <x v="2"/>
    <x v="3"/>
    <x v="130"/>
    <d v="2022-02-14T00:00:00"/>
    <x v="4"/>
  </r>
  <r>
    <n v="135"/>
    <x v="2"/>
    <x v="0"/>
    <n v="146034"/>
    <n v="65840"/>
    <n v="172"/>
    <x v="2"/>
    <x v="1"/>
    <x v="131"/>
    <d v="2021-11-02T00:00:00"/>
    <x v="4"/>
  </r>
  <r>
    <n v="136"/>
    <x v="0"/>
    <x v="0"/>
    <n v="143892"/>
    <n v="102662"/>
    <n v="574"/>
    <x v="2"/>
    <x v="2"/>
    <x v="132"/>
    <d v="2022-04-28T00:00:00"/>
    <x v="1"/>
  </r>
  <r>
    <n v="137"/>
    <x v="0"/>
    <x v="0"/>
    <n v="109500"/>
    <n v="36002"/>
    <n v="648"/>
    <x v="1"/>
    <x v="2"/>
    <x v="133"/>
    <d v="2022-06-22T00:00:00"/>
    <x v="1"/>
  </r>
  <r>
    <n v="138"/>
    <x v="0"/>
    <x v="2"/>
    <n v="36740"/>
    <n v="0"/>
    <n v="830"/>
    <x v="2"/>
    <x v="0"/>
    <x v="134"/>
    <m/>
    <x v="1"/>
  </r>
  <r>
    <n v="139"/>
    <x v="0"/>
    <x v="0"/>
    <n v="88060"/>
    <n v="25194"/>
    <n v="855"/>
    <x v="0"/>
    <x v="2"/>
    <x v="135"/>
    <d v="2022-09-01T00:00:00"/>
    <x v="1"/>
  </r>
  <r>
    <n v="140"/>
    <x v="2"/>
    <x v="0"/>
    <n v="108554"/>
    <n v="65310"/>
    <n v="366"/>
    <x v="1"/>
    <x v="1"/>
    <x v="136"/>
    <d v="2021-10-11T00:00:00"/>
    <x v="1"/>
  </r>
  <r>
    <n v="141"/>
    <x v="1"/>
    <x v="0"/>
    <n v="82598"/>
    <n v="47170"/>
    <n v="818"/>
    <x v="1"/>
    <x v="1"/>
    <x v="119"/>
    <d v="2021-06-11T00:00:00"/>
    <x v="5"/>
  </r>
  <r>
    <n v="142"/>
    <x v="1"/>
    <x v="2"/>
    <n v="55740"/>
    <n v="0"/>
    <n v="164"/>
    <x v="0"/>
    <x v="0"/>
    <x v="137"/>
    <m/>
    <x v="3"/>
  </r>
  <r>
    <n v="143"/>
    <x v="0"/>
    <x v="0"/>
    <n v="170348"/>
    <n v="67450"/>
    <n v="168"/>
    <x v="1"/>
    <x v="3"/>
    <x v="138"/>
    <d v="2023-08-04T00:00:00"/>
    <x v="3"/>
  </r>
  <r>
    <n v="144"/>
    <x v="2"/>
    <x v="0"/>
    <n v="190974"/>
    <n v="49406"/>
    <n v="839"/>
    <x v="2"/>
    <x v="1"/>
    <x v="139"/>
    <d v="2025-04-18T00:00:00"/>
    <x v="0"/>
  </r>
  <r>
    <n v="145"/>
    <x v="0"/>
    <x v="0"/>
    <n v="57182"/>
    <n v="28428"/>
    <n v="822"/>
    <x v="0"/>
    <x v="4"/>
    <x v="140"/>
    <d v="2023-11-23T00:00:00"/>
    <x v="4"/>
  </r>
  <r>
    <n v="146"/>
    <x v="0"/>
    <x v="2"/>
    <n v="42490"/>
    <n v="0"/>
    <n v="144"/>
    <x v="0"/>
    <x v="0"/>
    <x v="141"/>
    <m/>
    <x v="0"/>
  </r>
  <r>
    <n v="147"/>
    <x v="0"/>
    <x v="0"/>
    <n v="136099"/>
    <n v="29236"/>
    <n v="344"/>
    <x v="1"/>
    <x v="0"/>
    <x v="142"/>
    <d v="2023-08-10T00:00:00"/>
    <x v="0"/>
  </r>
  <r>
    <n v="148"/>
    <x v="2"/>
    <x v="0"/>
    <n v="103684"/>
    <n v="99280"/>
    <n v="454"/>
    <x v="2"/>
    <x v="4"/>
    <x v="143"/>
    <d v="2023-10-27T00:00:00"/>
    <x v="0"/>
  </r>
  <r>
    <n v="149"/>
    <x v="1"/>
    <x v="2"/>
    <n v="6595"/>
    <n v="0"/>
    <n v="254"/>
    <x v="1"/>
    <x v="0"/>
    <x v="144"/>
    <m/>
    <x v="0"/>
  </r>
  <r>
    <n v="150"/>
    <x v="2"/>
    <x v="1"/>
    <n v="32054"/>
    <n v="0"/>
    <n v="624"/>
    <x v="0"/>
    <x v="1"/>
    <x v="145"/>
    <d v="2024-09-02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8730-263C-4356-A2E5-71382824F4A0}" name="economia_responsave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61:B67" firstHeaderRow="1" firstDataRow="1" firstDataCol="1" rowPageCount="1" colPageCount="1"/>
  <pivotFields count="11">
    <pivotField showAll="0"/>
    <pivotField showAll="0">
      <items count="4">
        <item x="2"/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numFmtId="164" showAll="0"/>
    <pivotField dataField="1" numFmtId="164" showAll="0"/>
    <pivotField showAll="0"/>
    <pivotField showAll="0">
      <items count="4">
        <item x="0"/>
        <item x="1"/>
        <item x="2"/>
        <item t="default"/>
      </items>
    </pivotField>
    <pivotField axis="axisRow" showAll="0" sortType="ascending">
      <items count="6">
        <item x="3"/>
        <item x="4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7"/>
  </rowFields>
  <rowItems count="6">
    <i>
      <x v="1"/>
    </i>
    <i>
      <x v="4"/>
    </i>
    <i>
      <x v="3"/>
    </i>
    <i>
      <x v="2"/>
    </i>
    <i>
      <x/>
    </i>
    <i t="grand">
      <x/>
    </i>
  </rowItems>
  <colItems count="1">
    <i/>
  </colItems>
  <pageFields count="1">
    <pageField fld="2" hier="-1"/>
  </pageFields>
  <dataFields count="1">
    <dataField name="Soma de Economia_Acordo" fld="4" baseField="0" baseItem="0" numFmtId="164"/>
  </dataFields>
  <formats count="6">
    <format dxfId="122">
      <pivotArea outline="0" collapsedLevelsAreSubtotals="1" fieldPosition="0"/>
    </format>
    <format dxfId="123">
      <pivotArea dataOnly="0" labelOnly="1" outline="0" fieldPosition="0">
        <references count="1">
          <reference field="2" count="1">
            <x v="0"/>
          </reference>
        </references>
      </pivotArea>
    </format>
    <format dxfId="124">
      <pivotArea dataOnly="0" labelOnly="1" outline="0" axis="axisValues" fieldPosition="0"/>
    </format>
    <format dxfId="125">
      <pivotArea outline="0" collapsedLevelsAreSubtotals="1" fieldPosition="0"/>
    </format>
    <format dxfId="126">
      <pivotArea dataOnly="0" labelOnly="1" outline="0" fieldPosition="0">
        <references count="1">
          <reference field="2" count="1">
            <x v="0"/>
          </reference>
        </references>
      </pivotArea>
    </format>
    <format dxfId="127">
      <pivotArea dataOnly="0" labelOnly="1" outline="0" axis="axisValues" fieldPosition="0"/>
    </format>
  </format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F80A5-9615-48DB-8D86-CBFE4632C585}" name="processos_tip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Tipo de Processo">
  <location ref="A1:B5" firstHeaderRow="1" firstDataRow="1" firstDataCol="1"/>
  <pivotFields count="11">
    <pivotField dataField="1"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numFmtId="164" showAll="0"/>
    <pivotField numFmtId="164"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4"/>
        <item x="2"/>
        <item x="0"/>
        <item x="1"/>
        <item t="default"/>
      </items>
    </pivotField>
    <pivotField numFmtId="14" showAll="0"/>
    <pivotField showAll="0"/>
    <pivotField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ntagem de ID_Processo" fld="0" subtotal="count" baseField="1" baseItem="0"/>
  </dataFields>
  <formats count="4">
    <format dxfId="94">
      <pivotArea outline="0" collapsedLevelsAreSubtotals="1" fieldPosition="0"/>
    </format>
    <format dxfId="95">
      <pivotArea dataOnly="0" labelOnly="1" outline="0" axis="axisValues" fieldPosition="0"/>
    </format>
    <format dxfId="96">
      <pivotArea outline="0" collapsedLevelsAreSubtotals="1" fieldPosition="0"/>
    </format>
    <format dxfId="97">
      <pivotArea dataOnly="0" labelOnly="1" outline="0" axis="axisValues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C62DA-4EFF-4B9C-B270-911EDB693EF0}" name="processos_ano_tipo" cacheId="1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rowHeaderCaption="Ano de Abertura" colHeaderCaption="Tipo de Processo">
  <location ref="E19:I30" firstHeaderRow="1" firstDataRow="2" firstDataCol="1"/>
  <pivotFields count="11">
    <pivotField dataField="1" showAll="0"/>
    <pivotField axis="axisCol"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numFmtId="164" showAll="0"/>
    <pivotField numFmtId="164"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4"/>
        <item x="2"/>
        <item x="0"/>
        <item x="1"/>
        <item t="default"/>
      </items>
    </pivotField>
    <pivotField numFmtId="14" showAll="0"/>
    <pivotField showAll="0"/>
    <pivotField axis="axisRow"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ntagem de ID_Processo" fld="0" subtotal="count" baseField="10" baseItem="0"/>
  </dataFields>
  <formats count="8">
    <format dxfId="106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07">
      <pivotArea type="topRight" dataOnly="0" labelOnly="1" outline="0" fieldPosition="0"/>
    </format>
    <format dxfId="108">
      <pivotArea dataOnly="0" labelOnly="1" fieldPosition="0">
        <references count="1">
          <reference field="1" count="1">
            <x v="1"/>
          </reference>
        </references>
      </pivotArea>
    </format>
    <format dxfId="109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10">
      <pivotArea type="topRight" dataOnly="0" labelOnly="1" outline="0" fieldPosition="0"/>
    </format>
    <format dxfId="111">
      <pivotArea dataOnly="0" labelOnly="1" fieldPosition="0">
        <references count="1">
          <reference field="1" count="1">
            <x v="1"/>
          </reference>
        </references>
      </pivotArea>
    </format>
    <format dxfId="112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13">
      <pivotArea outline="0" collapsedLevelsAreSubtotals="1" fieldPosition="0">
        <references count="1">
          <reference field="1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2A5BC-2D5C-42A5-968A-FE7D816FE4FE}" name="processos_responsáve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51:F57" firstHeaderRow="1" firstDataRow="1" firstDataCol="1"/>
  <pivotFields count="11">
    <pivotField dataField="1" showAll="0"/>
    <pivotField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numFmtId="164" showAll="0"/>
    <pivotField numFmtId="164"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6">
        <item x="3"/>
        <item x="4"/>
        <item x="2"/>
        <item x="0"/>
        <item x="1"/>
        <item t="default"/>
      </items>
    </pivotField>
    <pivotField numFmtId="14" showAll="0"/>
    <pivotField showAll="0"/>
    <pivotField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ID_Processo" fld="0" subtotal="count" baseField="7" baseItem="0"/>
  </dataFields>
  <formats count="4">
    <format dxfId="98">
      <pivotArea outline="0" collapsedLevelsAreSubtotals="1" fieldPosition="0"/>
    </format>
    <format dxfId="99">
      <pivotArea dataOnly="0" labelOnly="1" outline="0" axis="axisValues" fieldPosition="0"/>
    </format>
    <format dxfId="100">
      <pivotArea outline="0" collapsedLevelsAreSubtotals="1" fieldPosition="0"/>
    </format>
    <format dxfId="10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1F7EA-B327-46D1-A535-2E6667B6D40E}" name="processos_an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Ano de Abertura">
  <location ref="A19:B29" firstHeaderRow="1" firstDataRow="1" firstDataCol="1"/>
  <pivotFields count="11">
    <pivotField dataField="1" showAll="0"/>
    <pivotField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numFmtId="164" showAll="0"/>
    <pivotField numFmtId="164"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4"/>
        <item x="2"/>
        <item x="0"/>
        <item x="1"/>
        <item t="default"/>
      </items>
    </pivotField>
    <pivotField numFmtId="14" showAll="0"/>
    <pivotField showAll="0"/>
    <pivotField axis="axisRow"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ntagem de ID_Processo" fld="0" subtotal="count" baseField="10" baseItem="0"/>
  </dataFields>
  <formats count="4">
    <format dxfId="114">
      <pivotArea outline="0" collapsedLevelsAreSubtotals="1" fieldPosition="0"/>
    </format>
    <format dxfId="115">
      <pivotArea dataOnly="0" labelOnly="1" outline="0" axis="axisValues" fieldPosition="0"/>
    </format>
    <format dxfId="116">
      <pivotArea outline="0" collapsedLevelsAreSubtotals="1" fieldPosition="0"/>
    </format>
    <format dxfId="117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C785D-D776-4DF7-A4CA-F019447CF6D8}" name="media_dias_tip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Tipo de Processo">
  <location ref="F10:G14" firstHeaderRow="1" firstDataRow="1" firstDataCol="1"/>
  <pivotFields count="11">
    <pivotField showAll="0"/>
    <pivotField axis="axisRow"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numFmtId="164" showAll="0"/>
    <pivotField numFmtId="164" showAll="0"/>
    <pivotField dataField="1"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4"/>
        <item x="2"/>
        <item x="0"/>
        <item x="1"/>
        <item t="default"/>
      </items>
    </pivotField>
    <pivotField numFmtId="14" showAll="0"/>
    <pivotField showAll="0"/>
    <pivotField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Tempo_Dias" fld="5" subtotal="average" baseField="1" baseItem="0" numFmtId="1"/>
  </dataFields>
  <formats count="4">
    <format dxfId="118">
      <pivotArea outline="0" collapsedLevelsAreSubtotals="1" fieldPosition="0"/>
    </format>
    <format dxfId="119">
      <pivotArea dataOnly="0" labelOnly="1" outline="0" axis="axisValues" fieldPosition="0"/>
    </format>
    <format dxfId="120">
      <pivotArea outline="0" collapsedLevelsAreSubtotals="1" fieldPosition="0"/>
    </format>
    <format dxfId="121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43EC3-B98D-4A1F-BC3B-688C0753C36D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1:B55" firstHeaderRow="1" firstDataRow="1" firstDataCol="1" rowPageCount="1" colPageCount="1"/>
  <pivotFields count="11">
    <pivotField dataField="1" showAll="0"/>
    <pivotField showAll="0"/>
    <pivotField axis="axisPage" showAll="0">
      <items count="4">
        <item x="0"/>
        <item x="2"/>
        <item x="1"/>
        <item t="default"/>
      </items>
    </pivotField>
    <pivotField numFmtId="164" showAll="0"/>
    <pivotField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2" hier="-1"/>
  </pageFields>
  <dataFields count="1">
    <dataField name="Contagem de ID_Processo" fld="0" subtotal="count" baseField="6" baseItem="0"/>
  </dataFields>
  <formats count="6">
    <format dxfId="150">
      <pivotArea outline="0" collapsedLevelsAreSubtotals="1" fieldPosition="0"/>
    </format>
    <format dxfId="149">
      <pivotArea dataOnly="0" labelOnly="1" outline="0" fieldPosition="0">
        <references count="1">
          <reference field="2" count="1">
            <x v="2"/>
          </reference>
        </references>
      </pivotArea>
    </format>
    <format dxfId="148">
      <pivotArea dataOnly="0" labelOnly="1" outline="0" axis="axisValues" fieldPosition="0"/>
    </format>
    <format dxfId="147">
      <pivotArea outline="0" collapsedLevelsAreSubtotals="1" fieldPosition="0"/>
    </format>
    <format dxfId="146">
      <pivotArea dataOnly="0" labelOnly="1" outline="0" fieldPosition="0">
        <references count="1">
          <reference field="2" count="1">
            <x v="2"/>
          </reference>
        </references>
      </pivotArea>
    </format>
    <format dxfId="1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D5C7D-11F2-42C3-8DDA-ABF7910EBD38}" name="processos_regiã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Região">
  <location ref="A10:B14" firstHeaderRow="1" firstDataRow="1" firstDataCol="1"/>
  <pivotFields count="11">
    <pivotField showAll="0"/>
    <pivotField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numFmtId="164" showAll="0"/>
    <pivotField dataField="1"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6">
        <item x="3"/>
        <item x="4"/>
        <item x="2"/>
        <item x="0"/>
        <item x="1"/>
        <item t="default"/>
      </items>
    </pivotField>
    <pivotField numFmtId="14" showAll="0"/>
    <pivotField showAll="0"/>
    <pivotField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conomia_Acordo" fld="4" baseField="0" baseItem="0" numFmtId="164"/>
  </dataFields>
  <formats count="4">
    <format dxfId="102">
      <pivotArea outline="0" collapsedLevelsAreSubtotals="1" fieldPosition="0"/>
    </format>
    <format dxfId="103">
      <pivotArea dataOnly="0" labelOnly="1" outline="0" axis="axisValues" fieldPosition="0"/>
    </format>
    <format dxfId="104">
      <pivotArea outline="0" collapsedLevelsAreSubtotals="1" fieldPosition="0"/>
    </format>
    <format dxfId="105">
      <pivotArea dataOnly="0" labelOnly="1" outline="0" axis="axisValues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F555D-A884-4763-8181-4038D68D87A3}" name="acordos_tip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7:F41" firstHeaderRow="1" firstDataRow="1" firstDataCol="1" rowPageCount="1" colPageCount="1"/>
  <pivotFields count="11">
    <pivotField dataField="1" showAll="0"/>
    <pivotField axis="axisRow" showAll="0">
      <items count="4">
        <item x="2"/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numFmtId="164" showAll="0"/>
    <pivotField numFmtId="164"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4"/>
        <item x="2"/>
        <item x="0"/>
        <item x="1"/>
        <item t="default"/>
      </items>
    </pivotField>
    <pivotField numFmtId="14" showAll="0"/>
    <pivotField showAll="0"/>
    <pivotField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Contagem de ID_Processo" fld="0" subtotal="count" baseField="1" baseItem="0"/>
  </dataFields>
  <formats count="2">
    <format dxfId="128">
      <pivotArea outline="0" collapsedLevelsAreSubtotals="1" fieldPosition="0"/>
    </format>
    <format dxfId="1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600B8-36C3-4BED-94F9-FB1E3B04503F}" name="processos_statu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Status">
  <location ref="F1:G5" firstHeaderRow="1" firstDataRow="1" firstDataCol="1"/>
  <pivotFields count="11">
    <pivotField dataField="1" showAll="0"/>
    <pivotField showAll="0">
      <items count="4">
        <item x="2"/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numFmtId="164" showAll="0"/>
    <pivotField numFmtId="164"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4"/>
        <item x="2"/>
        <item x="0"/>
        <item x="1"/>
        <item t="default"/>
      </items>
    </pivotField>
    <pivotField numFmtId="14" showAll="0">
      <items count="147">
        <item x="45"/>
        <item x="99"/>
        <item x="55"/>
        <item x="124"/>
        <item x="88"/>
        <item x="16"/>
        <item x="114"/>
        <item x="77"/>
        <item x="81"/>
        <item x="5"/>
        <item x="4"/>
        <item x="18"/>
        <item x="54"/>
        <item x="104"/>
        <item x="119"/>
        <item x="43"/>
        <item x="30"/>
        <item x="79"/>
        <item x="100"/>
        <item x="60"/>
        <item x="21"/>
        <item x="51"/>
        <item x="61"/>
        <item x="74"/>
        <item x="9"/>
        <item x="14"/>
        <item x="37"/>
        <item x="35"/>
        <item x="70"/>
        <item x="91"/>
        <item x="33"/>
        <item x="67"/>
        <item x="26"/>
        <item x="135"/>
        <item x="7"/>
        <item x="39"/>
        <item x="126"/>
        <item x="97"/>
        <item x="115"/>
        <item x="128"/>
        <item x="101"/>
        <item x="73"/>
        <item x="117"/>
        <item x="57"/>
        <item x="3"/>
        <item x="120"/>
        <item x="68"/>
        <item x="133"/>
        <item x="132"/>
        <item x="136"/>
        <item x="122"/>
        <item x="134"/>
        <item x="113"/>
        <item x="86"/>
        <item x="93"/>
        <item x="130"/>
        <item x="76"/>
        <item x="109"/>
        <item x="13"/>
        <item x="90"/>
        <item x="95"/>
        <item x="131"/>
        <item x="108"/>
        <item x="46"/>
        <item x="40"/>
        <item x="63"/>
        <item x="94"/>
        <item x="140"/>
        <item x="47"/>
        <item x="106"/>
        <item x="65"/>
        <item x="8"/>
        <item x="80"/>
        <item x="87"/>
        <item x="56"/>
        <item x="69"/>
        <item x="2"/>
        <item x="83"/>
        <item x="82"/>
        <item x="141"/>
        <item x="29"/>
        <item x="20"/>
        <item x="85"/>
        <item x="0"/>
        <item x="107"/>
        <item x="72"/>
        <item x="58"/>
        <item x="34"/>
        <item x="15"/>
        <item x="10"/>
        <item x="92"/>
        <item x="64"/>
        <item x="98"/>
        <item x="11"/>
        <item x="103"/>
        <item x="71"/>
        <item x="50"/>
        <item x="52"/>
        <item x="123"/>
        <item x="143"/>
        <item x="144"/>
        <item x="142"/>
        <item x="32"/>
        <item x="1"/>
        <item x="12"/>
        <item x="89"/>
        <item x="66"/>
        <item x="42"/>
        <item x="145"/>
        <item x="24"/>
        <item x="139"/>
        <item x="17"/>
        <item x="23"/>
        <item x="78"/>
        <item x="22"/>
        <item x="138"/>
        <item x="125"/>
        <item x="41"/>
        <item x="31"/>
        <item x="19"/>
        <item x="36"/>
        <item x="62"/>
        <item x="6"/>
        <item x="96"/>
        <item x="137"/>
        <item x="110"/>
        <item x="25"/>
        <item x="129"/>
        <item x="44"/>
        <item x="75"/>
        <item x="38"/>
        <item x="105"/>
        <item x="84"/>
        <item x="118"/>
        <item x="112"/>
        <item x="127"/>
        <item x="116"/>
        <item x="102"/>
        <item x="28"/>
        <item x="121"/>
        <item x="27"/>
        <item x="49"/>
        <item x="111"/>
        <item x="48"/>
        <item x="53"/>
        <item x="59"/>
        <item t="default"/>
      </items>
    </pivotField>
    <pivotField showAll="0"/>
    <pivotField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ID_Processo" fld="0" subtotal="count" baseField="2" baseItem="0"/>
  </dataFields>
  <formats count="4">
    <format dxfId="136">
      <pivotArea outline="0" collapsedLevelsAreSubtotals="1" fieldPosition="0"/>
    </format>
    <format dxfId="137">
      <pivotArea dataOnly="0" labelOnly="1" outline="0" axis="axisValues" fieldPosition="0"/>
    </format>
    <format dxfId="138">
      <pivotArea outline="0" collapsedLevelsAreSubtotals="1" fieldPosition="0"/>
    </format>
    <format dxfId="139">
      <pivotArea dataOnly="0" labelOnly="1" outline="0" axis="axisValues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FD78F-1E2E-4F13-B293-FFA3BDDB1913}" name="acordos_ano_abertur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no de Abertura">
  <location ref="A37:B47" firstHeaderRow="1" firstDataRow="1" firstDataCol="1" rowPageCount="1" colPageCount="1"/>
  <pivotFields count="11">
    <pivotField dataField="1" showAll="0"/>
    <pivotField showAll="0">
      <items count="4">
        <item x="2"/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numFmtId="164" showAll="0"/>
    <pivotField numFmtId="164"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4"/>
        <item x="2"/>
        <item x="0"/>
        <item x="1"/>
        <item t="default"/>
      </items>
    </pivotField>
    <pivotField numFmtId="14" showAll="0"/>
    <pivotField showAll="0"/>
    <pivotField axis="axisRow" showAll="0">
      <items count="10">
        <item x="7"/>
        <item x="2"/>
        <item x="5"/>
        <item x="1"/>
        <item x="4"/>
        <item x="0"/>
        <item x="3"/>
        <item x="6"/>
        <item x="8"/>
        <item t="default"/>
      </items>
    </pivotField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Contagem de ID_Processo" fld="0" subtotal="count" baseField="2" baseItem="0"/>
  </dataFields>
  <formats count="6">
    <format dxfId="130">
      <pivotArea outline="0" collapsedLevelsAreSubtotals="1" fieldPosition="0"/>
    </format>
    <format dxfId="131">
      <pivotArea dataOnly="0" labelOnly="1" outline="0" fieldPosition="0">
        <references count="1">
          <reference field="2" count="1">
            <x v="0"/>
          </reference>
        </references>
      </pivotArea>
    </format>
    <format dxfId="132">
      <pivotArea dataOnly="0" labelOnly="1" outline="0" axis="axisValues" fieldPosition="0"/>
    </format>
    <format dxfId="133">
      <pivotArea outline="0" collapsedLevelsAreSubtotals="1" fieldPosition="0"/>
    </format>
    <format dxfId="134">
      <pivotArea dataOnly="0" labelOnly="1" outline="0" fieldPosition="0">
        <references count="1">
          <reference field="2" count="1">
            <x v="0"/>
          </reference>
        </references>
      </pivotArea>
    </format>
    <format dxfId="1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881EE-A145-4081-934B-92CB04722AE1}" name="Tabela dinâ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61:I68" firstHeaderRow="1" firstDataRow="2" firstDataCol="1" rowPageCount="1" colPageCount="1"/>
  <pivotFields count="11">
    <pivotField dataField="1" showAll="0"/>
    <pivotField axis="axisCol" showAll="0">
      <items count="4">
        <item x="2"/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numFmtId="164" showAll="0"/>
    <pivotField numFmtId="164"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numFmtId="14"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" item="0" hier="-1"/>
  </pageFields>
  <dataFields count="1">
    <dataField name="Contagem de ID_Processo" fld="0" subtotal="count" baseField="7" baseItem="0"/>
  </dataFields>
  <formats count="12">
    <format dxfId="162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61">
      <pivotArea type="topRight" dataOnly="0" labelOnly="1" outline="0" fieldPosition="0"/>
    </format>
    <format dxfId="160">
      <pivotArea dataOnly="0" labelOnly="1" fieldPosition="0">
        <references count="1">
          <reference field="1" count="1">
            <x v="1"/>
          </reference>
        </references>
      </pivotArea>
    </format>
    <format dxfId="159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58">
      <pivotArea type="topRight" dataOnly="0" labelOnly="1" outline="0" fieldPosition="0"/>
    </format>
    <format dxfId="157">
      <pivotArea dataOnly="0" labelOnly="1" fieldPosition="0">
        <references count="1">
          <reference field="1" count="1">
            <x v="1"/>
          </reference>
        </references>
      </pivotArea>
    </format>
    <format dxfId="156">
      <pivotArea outline="0" collapsedLevelsAreSubtotals="1" fieldPosition="0">
        <references count="1">
          <reference field="1" count="1" selected="0">
            <x v="2"/>
          </reference>
        </references>
      </pivotArea>
    </format>
    <format dxfId="155">
      <pivotArea grandCol="1" outline="0" collapsedLevelsAreSubtotals="1" fieldPosition="0"/>
    </format>
    <format dxfId="154">
      <pivotArea grandCol="1" outline="0" collapsedLevelsAreSubtotals="1" fieldPosition="0"/>
    </format>
    <format dxfId="153">
      <pivotArea outline="0" collapsedLevelsAreSubtotals="1" fieldPosition="0">
        <references count="1">
          <reference field="1" count="1" selected="0">
            <x v="2"/>
          </reference>
        </references>
      </pivotArea>
    </format>
    <format dxfId="152">
      <pivotArea outline="0" collapsedLevelsAreSubtotals="1" fieldPosition="0"/>
    </format>
    <format dxfId="1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59F21803-F591-403D-949C-FBA478338405}" sourceName="Status">
  <pivotTables>
    <pivotTable tabId="4" name="processos_status"/>
    <pivotTable tabId="4" name="acordos_ano_abertura"/>
    <pivotTable tabId="4" name="acordos_tipo"/>
    <pivotTable tabId="4" name="economia_responsavel"/>
    <pivotTable tabId="4" name="media_dias_tipo"/>
    <pivotTable tabId="4" name="processos_ano"/>
    <pivotTable tabId="4" name="processos_ano_tipo"/>
    <pivotTable tabId="4" name="processos_região"/>
    <pivotTable tabId="4" name="processos_responsável"/>
    <pivotTable tabId="4" name="processos_tipo"/>
  </pivotTables>
  <data>
    <tabular pivotCacheId="1857321297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Processo" xr10:uid="{3A57B3E4-83EF-4C71-BE63-74B01E9A7745}" sourceName="Tipo_Processo">
  <pivotTables>
    <pivotTable tabId="4" name="processos_status"/>
    <pivotTable tabId="4" name="acordos_ano_abertura"/>
    <pivotTable tabId="4" name="acordos_tipo"/>
    <pivotTable tabId="4" name="economia_responsavel"/>
    <pivotTable tabId="4" name="media_dias_tipo"/>
    <pivotTable tabId="4" name="processos_ano"/>
    <pivotTable tabId="4" name="processos_ano_tipo"/>
    <pivotTable tabId="4" name="processos_região"/>
    <pivotTable tabId="4" name="processos_responsável"/>
    <pivotTable tabId="4" name="processos_tipo"/>
  </pivotTables>
  <data>
    <tabular pivotCacheId="1857321297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sponsável" xr10:uid="{946F607D-B14D-46D0-AA7C-89CECBEEA882}" sourceName="Responsável">
  <pivotTables>
    <pivotTable tabId="4" name="processos_status"/>
    <pivotTable tabId="4" name="acordos_ano_abertura"/>
    <pivotTable tabId="4" name="acordos_tipo"/>
    <pivotTable tabId="4" name="economia_responsavel"/>
    <pivotTable tabId="4" name="media_dias_tipo"/>
    <pivotTable tabId="4" name="processos_ano"/>
    <pivotTable tabId="4" name="processos_ano_tipo"/>
    <pivotTable tabId="4" name="processos_região"/>
    <pivotTable tabId="4" name="processos_responsável"/>
    <pivotTable tabId="4" name="processos_tipo"/>
  </pivotTables>
  <data>
    <tabular pivotCacheId="1857321297">
      <items count="5">
        <i x="3" s="1"/>
        <i x="4" s="1"/>
        <i x="2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Abertura" xr10:uid="{A569D795-9F0F-4AC1-BB80-8DDD3CB8BFA9}" sourceName="Ano_Abertura">
  <pivotTables>
    <pivotTable tabId="4" name="processos_ano_tipo"/>
    <pivotTable tabId="4" name="acordos_ano_abertura"/>
    <pivotTable tabId="4" name="acordos_tipo"/>
    <pivotTable tabId="4" name="economia_responsavel"/>
    <pivotTable tabId="4" name="media_dias_tipo"/>
    <pivotTable tabId="4" name="processos_ano"/>
    <pivotTable tabId="4" name="processos_região"/>
    <pivotTable tabId="4" name="processos_responsável"/>
    <pivotTable tabId="4" name="processos_status"/>
    <pivotTable tabId="4" name="processos_tipo"/>
  </pivotTables>
  <data>
    <tabular pivotCacheId="1857321297">
      <items count="9">
        <i x="7" s="1"/>
        <i x="2" s="1"/>
        <i x="5" s="1"/>
        <i x="1" s="1"/>
        <i x="4" s="1"/>
        <i x="0" s="1"/>
        <i x="3" s="1"/>
        <i x="6" s="1"/>
        <i x="8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90D7D9DB-7A8C-46ED-9B7F-06C738D3C8F2}" sourceName="Região">
  <pivotTables>
    <pivotTable tabId="4" name="processos_ano_tipo"/>
    <pivotTable tabId="4" name="acordos_ano_abertura"/>
    <pivotTable tabId="4" name="acordos_tipo"/>
    <pivotTable tabId="4" name="economia_responsavel"/>
    <pivotTable tabId="4" name="media_dias_tipo"/>
    <pivotTable tabId="4" name="processos_ano"/>
    <pivotTable tabId="4" name="processos_região"/>
    <pivotTable tabId="4" name="processos_responsável"/>
    <pivotTable tabId="4" name="processos_status"/>
    <pivotTable tabId="4" name="processos_tipo"/>
  </pivotTables>
  <data>
    <tabular pivotCacheId="185732129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DC482BCF-6EB1-40F7-9F08-10F854344070}" cache="SegmentaçãodeDados_Status" caption="Status" columnCount="2" style="SlicerStyleOther2 2" rowHeight="234950"/>
  <slicer name="Tipo_Processo" xr10:uid="{4640AF17-8C9D-4614-A05E-3680E0EB4074}" cache="SegmentaçãodeDados_Tipo_Processo" caption="Tipo_Processo" columnCount="2" style="SlicerStyleOther2 2" rowHeight="234950"/>
  <slicer name="Responsável" xr10:uid="{F6C03C25-B88D-4736-893D-36CDBB5C1336}" cache="SegmentaçãodeDados_Responsável" caption="Responsável" columnCount="2" style="SlicerStyleOther2 2" rowHeight="234950"/>
  <slicer name="Ano_Abertura" xr10:uid="{48DAFBE6-18DC-495F-BF80-E75CF5546E0D}" cache="SegmentaçãodeDados_Ano_Abertura" caption="Ano_Abertura" columnCount="3" style="SlicerStyleOther2 2" rowHeight="234950"/>
  <slicer name="Região" xr10:uid="{1DE0CDF0-42D0-46C9-A362-E66C4DA1A314}" cache="SegmentaçãodeDados_Região" caption="Região" columnCount="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FD3AC5-9857-49D1-A594-335F4B365679}" name="tb_processos" displayName="tb_processos" ref="A1:K151" totalsRowShown="0">
  <autoFilter ref="A1:K151" xr:uid="{52FD3AC5-9857-49D1-A594-335F4B365679}"/>
  <tableColumns count="11">
    <tableColumn id="1" xr3:uid="{47C0BD22-F03E-4799-B54F-0041E68B904A}" name="ID_Processo"/>
    <tableColumn id="2" xr3:uid="{81C4B351-9A5F-4CD2-AC5A-967557C15E53}" name="Tipo_Processo"/>
    <tableColumn id="3" xr3:uid="{9D417421-2B35-451F-BAED-360890F359DF}" name="Status"/>
    <tableColumn id="4" xr3:uid="{DF76BDD2-E536-4A6F-BE07-F532D2EF29AD}" name="Valor_Causa" dataDxfId="144"/>
    <tableColumn id="5" xr3:uid="{CBD33E20-FBF8-4196-8B76-688A06CB2C21}" name="Economia_Acordo" dataDxfId="143"/>
    <tableColumn id="6" xr3:uid="{28A023B2-BDDF-4AAB-8C74-CB6872E2AB16}" name="Tempo_Dias"/>
    <tableColumn id="7" xr3:uid="{1DABC3F4-6AFB-40B3-A280-C36326597A4A}" name="Região"/>
    <tableColumn id="8" xr3:uid="{8E29E6BD-79DF-4C3E-9C3C-22FF2BC1C77D}" name="Responsável"/>
    <tableColumn id="9" xr3:uid="{1D50B2FB-25FF-4352-A01D-421F28667D3F}" name="Data_Abertura" dataDxfId="142"/>
    <tableColumn id="10" xr3:uid="{92716DC8-D4A8-4722-A8E7-928175DAB229}" name="Data_Encerramento" dataDxfId="141"/>
    <tableColumn id="11" xr3:uid="{6E1D056C-9043-4B08-9757-DC5C037C079C}" name="Ano_Aber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opLeftCell="A2" workbookViewId="0">
      <selection activeCell="C14" sqref="C14"/>
    </sheetView>
  </sheetViews>
  <sheetFormatPr defaultRowHeight="14.4" x14ac:dyDescent="0.3"/>
  <cols>
    <col min="1" max="1" width="13.33203125" customWidth="1"/>
    <col min="2" max="2" width="15.33203125" customWidth="1"/>
    <col min="3" max="3" width="14.109375" bestFit="1" customWidth="1"/>
    <col min="4" max="4" width="13.44140625" customWidth="1"/>
    <col min="5" max="5" width="18.33203125" customWidth="1"/>
    <col min="6" max="6" width="13.44140625" customWidth="1"/>
    <col min="7" max="7" width="8.77734375" customWidth="1"/>
    <col min="8" max="8" width="13.77734375" customWidth="1"/>
    <col min="9" max="9" width="15.44140625" customWidth="1"/>
    <col min="10" max="10" width="19.88671875" customWidth="1"/>
    <col min="11" max="11" width="1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</row>
    <row r="2" spans="1:11" x14ac:dyDescent="0.3">
      <c r="A2">
        <v>1</v>
      </c>
      <c r="B2" t="s">
        <v>17</v>
      </c>
      <c r="C2" t="s">
        <v>16</v>
      </c>
      <c r="D2" s="2">
        <v>58516</v>
      </c>
      <c r="E2" s="2">
        <v>46328</v>
      </c>
      <c r="F2">
        <v>611</v>
      </c>
      <c r="G2" t="s">
        <v>12</v>
      </c>
      <c r="H2" t="s">
        <v>23</v>
      </c>
      <c r="I2" s="1">
        <v>44613</v>
      </c>
      <c r="J2" s="1">
        <v>45224</v>
      </c>
      <c r="K2">
        <v>2022</v>
      </c>
    </row>
    <row r="3" spans="1:11" x14ac:dyDescent="0.3">
      <c r="A3">
        <v>2</v>
      </c>
      <c r="B3" t="s">
        <v>18</v>
      </c>
      <c r="C3" t="s">
        <v>16</v>
      </c>
      <c r="D3" s="2">
        <v>155050</v>
      </c>
      <c r="E3" s="2">
        <v>33778</v>
      </c>
      <c r="F3">
        <v>673</v>
      </c>
      <c r="G3" t="s">
        <v>12</v>
      </c>
      <c r="H3" t="s">
        <v>24</v>
      </c>
      <c r="I3" s="1">
        <v>44868</v>
      </c>
      <c r="J3" s="1">
        <v>45541</v>
      </c>
      <c r="K3">
        <v>2022</v>
      </c>
    </row>
    <row r="4" spans="1:11" x14ac:dyDescent="0.3">
      <c r="A4">
        <v>3</v>
      </c>
      <c r="B4" t="s">
        <v>19</v>
      </c>
      <c r="C4" t="s">
        <v>21</v>
      </c>
      <c r="D4" s="2">
        <v>7489</v>
      </c>
      <c r="E4" s="2">
        <v>0</v>
      </c>
      <c r="F4">
        <v>378</v>
      </c>
      <c r="G4" t="s">
        <v>10</v>
      </c>
      <c r="H4" t="s">
        <v>15</v>
      </c>
      <c r="I4" s="1">
        <v>44575</v>
      </c>
      <c r="J4" s="1">
        <v>44953</v>
      </c>
      <c r="K4">
        <v>2022</v>
      </c>
    </row>
    <row r="5" spans="1:11" x14ac:dyDescent="0.3">
      <c r="A5">
        <v>4</v>
      </c>
      <c r="B5" t="s">
        <v>17</v>
      </c>
      <c r="C5" t="s">
        <v>16</v>
      </c>
      <c r="D5" s="2">
        <v>103776</v>
      </c>
      <c r="E5" s="2">
        <v>32058</v>
      </c>
      <c r="F5">
        <v>520</v>
      </c>
      <c r="G5" t="s">
        <v>10</v>
      </c>
      <c r="H5" t="s">
        <v>15</v>
      </c>
      <c r="I5" s="1">
        <v>44065</v>
      </c>
      <c r="J5" s="1">
        <v>44585</v>
      </c>
      <c r="K5">
        <v>2020</v>
      </c>
    </row>
    <row r="6" spans="1:11" x14ac:dyDescent="0.3">
      <c r="A6">
        <v>5</v>
      </c>
      <c r="B6" t="s">
        <v>17</v>
      </c>
      <c r="C6" t="s">
        <v>16</v>
      </c>
      <c r="D6" s="2">
        <v>111471</v>
      </c>
      <c r="E6" s="2">
        <v>46021</v>
      </c>
      <c r="F6">
        <v>829</v>
      </c>
      <c r="G6" t="s">
        <v>12</v>
      </c>
      <c r="H6" t="s">
        <v>13</v>
      </c>
      <c r="I6" s="1">
        <v>43444</v>
      </c>
      <c r="J6" s="1">
        <v>44273</v>
      </c>
      <c r="K6">
        <v>2018</v>
      </c>
    </row>
    <row r="7" spans="1:11" x14ac:dyDescent="0.3">
      <c r="A7">
        <v>6</v>
      </c>
      <c r="B7" t="s">
        <v>18</v>
      </c>
      <c r="C7" t="s">
        <v>16</v>
      </c>
      <c r="D7" s="2">
        <v>156996</v>
      </c>
      <c r="E7" s="2">
        <v>90170</v>
      </c>
      <c r="F7">
        <v>557</v>
      </c>
      <c r="G7" t="s">
        <v>12</v>
      </c>
      <c r="H7" t="s">
        <v>15</v>
      </c>
      <c r="I7" s="1">
        <v>43406</v>
      </c>
      <c r="J7" s="1">
        <v>43963</v>
      </c>
      <c r="K7">
        <v>2018</v>
      </c>
    </row>
    <row r="8" spans="1:11" x14ac:dyDescent="0.3">
      <c r="A8">
        <v>7</v>
      </c>
      <c r="B8" t="s">
        <v>17</v>
      </c>
      <c r="C8" t="s">
        <v>16</v>
      </c>
      <c r="D8" s="2">
        <v>11001</v>
      </c>
      <c r="E8" s="2">
        <v>6675</v>
      </c>
      <c r="F8">
        <v>402</v>
      </c>
      <c r="G8" t="s">
        <v>10</v>
      </c>
      <c r="H8" t="s">
        <v>24</v>
      </c>
      <c r="I8" s="1">
        <v>45111</v>
      </c>
      <c r="J8" s="1">
        <v>45513</v>
      </c>
      <c r="K8">
        <v>2023</v>
      </c>
    </row>
    <row r="9" spans="1:11" x14ac:dyDescent="0.3">
      <c r="A9">
        <v>8</v>
      </c>
      <c r="B9" t="s">
        <v>19</v>
      </c>
      <c r="C9" t="s">
        <v>16</v>
      </c>
      <c r="D9" s="2">
        <v>61838</v>
      </c>
      <c r="E9" s="2">
        <v>24752</v>
      </c>
      <c r="F9">
        <v>847</v>
      </c>
      <c r="G9" t="s">
        <v>12</v>
      </c>
      <c r="H9" t="s">
        <v>23</v>
      </c>
      <c r="I9" s="1">
        <v>43951</v>
      </c>
      <c r="J9" s="1">
        <v>44798</v>
      </c>
      <c r="K9">
        <v>2020</v>
      </c>
    </row>
    <row r="10" spans="1:11" x14ac:dyDescent="0.3">
      <c r="A10">
        <v>9</v>
      </c>
      <c r="B10" t="s">
        <v>19</v>
      </c>
      <c r="C10" t="s">
        <v>16</v>
      </c>
      <c r="D10" s="2">
        <v>175160</v>
      </c>
      <c r="E10" s="2">
        <v>26896</v>
      </c>
      <c r="F10">
        <v>635</v>
      </c>
      <c r="G10" t="s">
        <v>12</v>
      </c>
      <c r="H10" t="s">
        <v>24</v>
      </c>
      <c r="I10" s="1">
        <v>44469</v>
      </c>
      <c r="J10" s="1">
        <v>45104</v>
      </c>
      <c r="K10">
        <v>2021</v>
      </c>
    </row>
    <row r="11" spans="1:11" x14ac:dyDescent="0.3">
      <c r="A11">
        <v>10</v>
      </c>
      <c r="B11" t="s">
        <v>18</v>
      </c>
      <c r="C11" t="s">
        <v>16</v>
      </c>
      <c r="D11" s="2">
        <v>175480</v>
      </c>
      <c r="E11" s="2">
        <v>108270</v>
      </c>
      <c r="F11">
        <v>435</v>
      </c>
      <c r="G11" t="s">
        <v>12</v>
      </c>
      <c r="H11" t="s">
        <v>13</v>
      </c>
      <c r="I11" s="1">
        <v>43783</v>
      </c>
      <c r="J11" s="1">
        <v>44218</v>
      </c>
      <c r="K11">
        <v>2019</v>
      </c>
    </row>
    <row r="12" spans="1:11" x14ac:dyDescent="0.3">
      <c r="A12">
        <v>11</v>
      </c>
      <c r="B12" t="s">
        <v>17</v>
      </c>
      <c r="C12" t="s">
        <v>16</v>
      </c>
      <c r="D12" s="2">
        <v>141332</v>
      </c>
      <c r="E12" s="2">
        <v>41651</v>
      </c>
      <c r="F12">
        <v>99</v>
      </c>
      <c r="G12" t="s">
        <v>12</v>
      </c>
      <c r="H12" t="s">
        <v>24</v>
      </c>
      <c r="I12" s="1">
        <v>44675</v>
      </c>
      <c r="J12" s="1">
        <v>44774</v>
      </c>
      <c r="K12">
        <v>2022</v>
      </c>
    </row>
    <row r="13" spans="1:11" x14ac:dyDescent="0.3">
      <c r="A13">
        <v>12</v>
      </c>
      <c r="B13" t="s">
        <v>17</v>
      </c>
      <c r="C13" t="s">
        <v>16</v>
      </c>
      <c r="D13" s="2">
        <v>50396</v>
      </c>
      <c r="E13" s="2">
        <v>19078</v>
      </c>
      <c r="F13">
        <v>819</v>
      </c>
      <c r="G13" t="s">
        <v>11</v>
      </c>
      <c r="H13" t="s">
        <v>23</v>
      </c>
      <c r="I13" s="1">
        <v>44706</v>
      </c>
      <c r="J13" s="1">
        <v>45525</v>
      </c>
      <c r="K13">
        <v>2022</v>
      </c>
    </row>
    <row r="14" spans="1:11" x14ac:dyDescent="0.3">
      <c r="A14">
        <v>13</v>
      </c>
      <c r="B14" t="s">
        <v>18</v>
      </c>
      <c r="C14" t="s">
        <v>20</v>
      </c>
      <c r="D14" s="2">
        <v>7574</v>
      </c>
      <c r="E14" s="2">
        <v>0</v>
      </c>
      <c r="F14">
        <v>859</v>
      </c>
      <c r="G14" t="s">
        <v>11</v>
      </c>
      <c r="H14" t="s">
        <v>15</v>
      </c>
      <c r="I14" s="1">
        <v>44869</v>
      </c>
      <c r="J14" s="1"/>
      <c r="K14">
        <v>2022</v>
      </c>
    </row>
    <row r="15" spans="1:11" x14ac:dyDescent="0.3">
      <c r="A15">
        <v>14</v>
      </c>
      <c r="B15" t="s">
        <v>19</v>
      </c>
      <c r="C15" t="s">
        <v>16</v>
      </c>
      <c r="D15" s="2">
        <v>61337</v>
      </c>
      <c r="E15" s="2">
        <v>29958</v>
      </c>
      <c r="F15">
        <v>533</v>
      </c>
      <c r="G15" t="s">
        <v>12</v>
      </c>
      <c r="H15" t="s">
        <v>23</v>
      </c>
      <c r="I15" s="1">
        <v>44245</v>
      </c>
      <c r="J15" s="1">
        <v>44778</v>
      </c>
      <c r="K15">
        <v>2021</v>
      </c>
    </row>
    <row r="16" spans="1:11" x14ac:dyDescent="0.3">
      <c r="A16">
        <v>15</v>
      </c>
      <c r="B16" t="s">
        <v>17</v>
      </c>
      <c r="C16" t="s">
        <v>21</v>
      </c>
      <c r="D16" s="2">
        <v>50305</v>
      </c>
      <c r="E16" s="2">
        <v>0</v>
      </c>
      <c r="F16">
        <v>650</v>
      </c>
      <c r="G16" t="s">
        <v>10</v>
      </c>
      <c r="H16" t="s">
        <v>14</v>
      </c>
      <c r="I16" s="1">
        <v>43792</v>
      </c>
      <c r="J16" s="1">
        <v>44442</v>
      </c>
      <c r="K16">
        <v>2019</v>
      </c>
    </row>
    <row r="17" spans="1:11" x14ac:dyDescent="0.3">
      <c r="A17">
        <v>16</v>
      </c>
      <c r="B17" t="s">
        <v>19</v>
      </c>
      <c r="C17" t="s">
        <v>16</v>
      </c>
      <c r="D17" s="2">
        <v>15607</v>
      </c>
      <c r="E17" s="2">
        <v>2548</v>
      </c>
      <c r="F17">
        <v>55</v>
      </c>
      <c r="G17" t="s">
        <v>11</v>
      </c>
      <c r="H17" t="s">
        <v>23</v>
      </c>
      <c r="I17" s="1">
        <v>44663</v>
      </c>
      <c r="J17" s="1">
        <v>44718</v>
      </c>
      <c r="K17">
        <v>2022</v>
      </c>
    </row>
    <row r="18" spans="1:11" x14ac:dyDescent="0.3">
      <c r="A18">
        <v>17</v>
      </c>
      <c r="B18" t="s">
        <v>17</v>
      </c>
      <c r="C18" t="s">
        <v>16</v>
      </c>
      <c r="D18" s="2">
        <v>102086</v>
      </c>
      <c r="E18" s="2">
        <v>42273</v>
      </c>
      <c r="F18">
        <v>749</v>
      </c>
      <c r="G18" t="s">
        <v>12</v>
      </c>
      <c r="H18" t="s">
        <v>24</v>
      </c>
      <c r="I18" s="1">
        <v>43283</v>
      </c>
      <c r="J18" s="1">
        <v>44032</v>
      </c>
      <c r="K18">
        <v>2018</v>
      </c>
    </row>
    <row r="19" spans="1:11" x14ac:dyDescent="0.3">
      <c r="A19">
        <v>18</v>
      </c>
      <c r="B19" t="s">
        <v>18</v>
      </c>
      <c r="C19" t="s">
        <v>20</v>
      </c>
      <c r="D19" s="2">
        <v>138825</v>
      </c>
      <c r="E19" s="2">
        <v>0</v>
      </c>
      <c r="F19">
        <v>199</v>
      </c>
      <c r="G19" t="s">
        <v>11</v>
      </c>
      <c r="H19" t="s">
        <v>24</v>
      </c>
      <c r="I19" s="1">
        <v>44946</v>
      </c>
      <c r="J19" s="1"/>
      <c r="K19">
        <v>2023</v>
      </c>
    </row>
    <row r="20" spans="1:11" x14ac:dyDescent="0.3">
      <c r="A20">
        <v>19</v>
      </c>
      <c r="B20" t="s">
        <v>19</v>
      </c>
      <c r="C20" t="s">
        <v>16</v>
      </c>
      <c r="D20" s="2">
        <v>34773</v>
      </c>
      <c r="E20" s="2">
        <v>26670</v>
      </c>
      <c r="F20">
        <v>603</v>
      </c>
      <c r="G20" t="s">
        <v>12</v>
      </c>
      <c r="H20" t="s">
        <v>13</v>
      </c>
      <c r="I20" s="1">
        <v>43446</v>
      </c>
      <c r="J20" s="1">
        <v>44049</v>
      </c>
      <c r="K20">
        <v>2018</v>
      </c>
    </row>
    <row r="21" spans="1:11" x14ac:dyDescent="0.3">
      <c r="A21">
        <v>20</v>
      </c>
      <c r="B21" t="s">
        <v>18</v>
      </c>
      <c r="C21" t="s">
        <v>21</v>
      </c>
      <c r="D21" s="2">
        <v>26189</v>
      </c>
      <c r="E21" s="2">
        <v>0</v>
      </c>
      <c r="F21">
        <v>798</v>
      </c>
      <c r="G21" t="s">
        <v>12</v>
      </c>
      <c r="H21" t="s">
        <v>15</v>
      </c>
      <c r="I21" s="1">
        <v>45047</v>
      </c>
      <c r="J21" s="1">
        <v>45845</v>
      </c>
      <c r="K21">
        <v>2023</v>
      </c>
    </row>
    <row r="22" spans="1:11" x14ac:dyDescent="0.3">
      <c r="A22">
        <v>21</v>
      </c>
      <c r="B22" t="s">
        <v>19</v>
      </c>
      <c r="C22" t="s">
        <v>16</v>
      </c>
      <c r="D22" s="2">
        <v>18990</v>
      </c>
      <c r="E22" s="2">
        <v>12996</v>
      </c>
      <c r="F22">
        <v>277</v>
      </c>
      <c r="G22" t="s">
        <v>10</v>
      </c>
      <c r="H22" t="s">
        <v>15</v>
      </c>
      <c r="I22" s="1">
        <v>44602</v>
      </c>
      <c r="J22" s="1">
        <v>44879</v>
      </c>
      <c r="K22">
        <v>2022</v>
      </c>
    </row>
    <row r="23" spans="1:11" x14ac:dyDescent="0.3">
      <c r="A23">
        <v>22</v>
      </c>
      <c r="B23" t="s">
        <v>17</v>
      </c>
      <c r="C23" t="s">
        <v>20</v>
      </c>
      <c r="D23" s="2">
        <v>17243</v>
      </c>
      <c r="E23" s="2">
        <v>0</v>
      </c>
      <c r="F23">
        <v>641</v>
      </c>
      <c r="G23" t="s">
        <v>10</v>
      </c>
      <c r="H23" t="s">
        <v>15</v>
      </c>
      <c r="I23" s="1">
        <v>43727</v>
      </c>
      <c r="J23" s="1"/>
      <c r="K23">
        <v>2019</v>
      </c>
    </row>
    <row r="24" spans="1:11" x14ac:dyDescent="0.3">
      <c r="A24">
        <v>23</v>
      </c>
      <c r="B24" t="s">
        <v>18</v>
      </c>
      <c r="C24" t="s">
        <v>21</v>
      </c>
      <c r="D24" s="2">
        <v>177838</v>
      </c>
      <c r="E24" s="2">
        <v>0</v>
      </c>
      <c r="F24">
        <v>868</v>
      </c>
      <c r="G24" t="s">
        <v>10</v>
      </c>
      <c r="H24" t="s">
        <v>14</v>
      </c>
      <c r="I24" s="1">
        <v>44959</v>
      </c>
      <c r="J24" s="1">
        <v>45827</v>
      </c>
      <c r="K24">
        <v>2023</v>
      </c>
    </row>
    <row r="25" spans="1:11" x14ac:dyDescent="0.3">
      <c r="A25">
        <v>24</v>
      </c>
      <c r="B25" t="s">
        <v>18</v>
      </c>
      <c r="C25" t="s">
        <v>16</v>
      </c>
      <c r="D25" s="2">
        <v>15888</v>
      </c>
      <c r="E25" s="2">
        <v>31966</v>
      </c>
      <c r="F25">
        <v>361</v>
      </c>
      <c r="G25" t="s">
        <v>11</v>
      </c>
      <c r="H25" t="s">
        <v>14</v>
      </c>
      <c r="I25" s="1">
        <v>44947</v>
      </c>
      <c r="J25" s="1">
        <v>45308</v>
      </c>
      <c r="K25">
        <v>2023</v>
      </c>
    </row>
    <row r="26" spans="1:11" x14ac:dyDescent="0.3">
      <c r="A26">
        <v>25</v>
      </c>
      <c r="B26" t="s">
        <v>19</v>
      </c>
      <c r="C26" t="s">
        <v>20</v>
      </c>
      <c r="D26" s="2">
        <v>51641</v>
      </c>
      <c r="E26" s="2">
        <v>0</v>
      </c>
      <c r="F26">
        <v>419</v>
      </c>
      <c r="G26" t="s">
        <v>11</v>
      </c>
      <c r="H26" t="s">
        <v>13</v>
      </c>
      <c r="I26" s="1">
        <v>44915</v>
      </c>
      <c r="J26" s="1"/>
      <c r="K26">
        <v>2022</v>
      </c>
    </row>
    <row r="27" spans="1:11" x14ac:dyDescent="0.3">
      <c r="A27">
        <v>26</v>
      </c>
      <c r="B27" t="s">
        <v>17</v>
      </c>
      <c r="C27" t="s">
        <v>16</v>
      </c>
      <c r="D27" s="2">
        <v>50332</v>
      </c>
      <c r="E27" s="2">
        <v>41019</v>
      </c>
      <c r="F27">
        <v>274</v>
      </c>
      <c r="G27" t="s">
        <v>12</v>
      </c>
      <c r="H27" t="s">
        <v>14</v>
      </c>
      <c r="I27" s="1">
        <v>45186</v>
      </c>
      <c r="J27" s="1">
        <v>45460</v>
      </c>
      <c r="K27">
        <v>2023</v>
      </c>
    </row>
    <row r="28" spans="1:11" x14ac:dyDescent="0.3">
      <c r="A28">
        <v>27</v>
      </c>
      <c r="B28" t="s">
        <v>17</v>
      </c>
      <c r="C28" t="s">
        <v>20</v>
      </c>
      <c r="D28" s="2">
        <v>132047</v>
      </c>
      <c r="E28" s="2">
        <v>0</v>
      </c>
      <c r="F28">
        <v>746</v>
      </c>
      <c r="G28" t="s">
        <v>10</v>
      </c>
      <c r="H28" t="s">
        <v>23</v>
      </c>
      <c r="I28" s="1">
        <v>43917</v>
      </c>
      <c r="J28" s="1"/>
      <c r="K28">
        <v>2020</v>
      </c>
    </row>
    <row r="29" spans="1:11" x14ac:dyDescent="0.3">
      <c r="A29">
        <v>28</v>
      </c>
      <c r="B29" t="s">
        <v>18</v>
      </c>
      <c r="C29" t="s">
        <v>20</v>
      </c>
      <c r="D29" s="2">
        <v>22900</v>
      </c>
      <c r="E29" s="2">
        <v>0</v>
      </c>
      <c r="F29">
        <v>31</v>
      </c>
      <c r="G29" t="s">
        <v>10</v>
      </c>
      <c r="H29" t="s">
        <v>14</v>
      </c>
      <c r="I29" s="1">
        <v>45471</v>
      </c>
      <c r="J29" s="1"/>
      <c r="K29">
        <v>2024</v>
      </c>
    </row>
    <row r="30" spans="1:11" x14ac:dyDescent="0.3">
      <c r="A30">
        <v>29</v>
      </c>
      <c r="B30" t="s">
        <v>19</v>
      </c>
      <c r="C30" t="s">
        <v>21</v>
      </c>
      <c r="D30" s="2">
        <v>86128</v>
      </c>
      <c r="E30" s="2">
        <v>0</v>
      </c>
      <c r="F30">
        <v>54</v>
      </c>
      <c r="G30" t="s">
        <v>12</v>
      </c>
      <c r="H30" t="s">
        <v>24</v>
      </c>
      <c r="I30" s="1">
        <v>45424</v>
      </c>
      <c r="J30" s="1">
        <v>45478</v>
      </c>
      <c r="K30">
        <v>2024</v>
      </c>
    </row>
    <row r="31" spans="1:11" x14ac:dyDescent="0.3">
      <c r="A31">
        <v>30</v>
      </c>
      <c r="B31" t="s">
        <v>19</v>
      </c>
      <c r="C31" t="s">
        <v>20</v>
      </c>
      <c r="D31" s="2">
        <v>119173</v>
      </c>
      <c r="E31" s="2">
        <v>0</v>
      </c>
      <c r="F31">
        <v>765</v>
      </c>
      <c r="G31" t="s">
        <v>12</v>
      </c>
      <c r="H31" t="s">
        <v>15</v>
      </c>
      <c r="I31" s="1">
        <v>44599</v>
      </c>
      <c r="J31" s="1"/>
      <c r="K31">
        <v>2022</v>
      </c>
    </row>
    <row r="32" spans="1:11" x14ac:dyDescent="0.3">
      <c r="A32">
        <v>31</v>
      </c>
      <c r="B32" t="s">
        <v>18</v>
      </c>
      <c r="C32" t="s">
        <v>21</v>
      </c>
      <c r="D32" s="2">
        <v>24656</v>
      </c>
      <c r="E32" s="2">
        <v>0</v>
      </c>
      <c r="F32">
        <v>451</v>
      </c>
      <c r="G32" t="s">
        <v>10</v>
      </c>
      <c r="H32" t="s">
        <v>24</v>
      </c>
      <c r="I32" s="1">
        <v>43575</v>
      </c>
      <c r="J32" s="1">
        <v>44026</v>
      </c>
      <c r="K32">
        <v>2019</v>
      </c>
    </row>
    <row r="33" spans="1:11" x14ac:dyDescent="0.3">
      <c r="A33">
        <v>32</v>
      </c>
      <c r="B33" t="s">
        <v>18</v>
      </c>
      <c r="C33" t="s">
        <v>21</v>
      </c>
      <c r="D33" s="2">
        <v>97833</v>
      </c>
      <c r="E33" s="2">
        <v>0</v>
      </c>
      <c r="F33">
        <v>577</v>
      </c>
      <c r="G33" t="s">
        <v>12</v>
      </c>
      <c r="H33" t="s">
        <v>23</v>
      </c>
      <c r="I33" s="1">
        <v>45017</v>
      </c>
      <c r="J33" s="1">
        <v>45594</v>
      </c>
      <c r="K33">
        <v>2023</v>
      </c>
    </row>
    <row r="34" spans="1:11" x14ac:dyDescent="0.3">
      <c r="A34">
        <v>33</v>
      </c>
      <c r="B34" t="s">
        <v>18</v>
      </c>
      <c r="C34" t="s">
        <v>21</v>
      </c>
      <c r="D34" s="2">
        <v>125685</v>
      </c>
      <c r="E34" s="2">
        <v>0</v>
      </c>
      <c r="F34">
        <v>355</v>
      </c>
      <c r="G34" t="s">
        <v>10</v>
      </c>
      <c r="H34" t="s">
        <v>13</v>
      </c>
      <c r="I34" s="1">
        <v>44850</v>
      </c>
      <c r="J34" s="1">
        <v>45205</v>
      </c>
      <c r="K34">
        <v>2022</v>
      </c>
    </row>
    <row r="35" spans="1:11" x14ac:dyDescent="0.3">
      <c r="A35">
        <v>34</v>
      </c>
      <c r="B35" t="s">
        <v>18</v>
      </c>
      <c r="C35" t="s">
        <v>21</v>
      </c>
      <c r="D35" s="2">
        <v>29053</v>
      </c>
      <c r="E35" s="2">
        <v>0</v>
      </c>
      <c r="F35">
        <v>516</v>
      </c>
      <c r="G35" t="s">
        <v>12</v>
      </c>
      <c r="H35" t="s">
        <v>13</v>
      </c>
      <c r="I35" s="1">
        <v>43894</v>
      </c>
      <c r="J35" s="1">
        <v>44410</v>
      </c>
      <c r="K35">
        <v>2020</v>
      </c>
    </row>
    <row r="36" spans="1:11" x14ac:dyDescent="0.3">
      <c r="A36">
        <v>35</v>
      </c>
      <c r="B36" t="s">
        <v>19</v>
      </c>
      <c r="C36" t="s">
        <v>20</v>
      </c>
      <c r="D36" s="2">
        <v>104485</v>
      </c>
      <c r="E36" s="2">
        <v>0</v>
      </c>
      <c r="F36">
        <v>841</v>
      </c>
      <c r="G36" t="s">
        <v>12</v>
      </c>
      <c r="H36" t="s">
        <v>23</v>
      </c>
      <c r="I36" s="1">
        <v>44654</v>
      </c>
      <c r="J36" s="1"/>
      <c r="K36">
        <v>2022</v>
      </c>
    </row>
    <row r="37" spans="1:11" x14ac:dyDescent="0.3">
      <c r="A37">
        <v>36</v>
      </c>
      <c r="B37" t="s">
        <v>18</v>
      </c>
      <c r="C37" t="s">
        <v>20</v>
      </c>
      <c r="D37" s="2">
        <v>24824</v>
      </c>
      <c r="E37" s="2">
        <v>0</v>
      </c>
      <c r="F37">
        <v>529</v>
      </c>
      <c r="G37" t="s">
        <v>11</v>
      </c>
      <c r="H37" t="s">
        <v>23</v>
      </c>
      <c r="I37" s="1">
        <v>43797</v>
      </c>
      <c r="J37" s="1"/>
      <c r="K37">
        <v>2019</v>
      </c>
    </row>
    <row r="38" spans="1:11" x14ac:dyDescent="0.3">
      <c r="A38">
        <v>37</v>
      </c>
      <c r="B38" t="s">
        <v>19</v>
      </c>
      <c r="C38" t="s">
        <v>20</v>
      </c>
      <c r="D38" s="2">
        <v>10711</v>
      </c>
      <c r="E38" s="2">
        <v>0</v>
      </c>
      <c r="F38">
        <v>289</v>
      </c>
      <c r="G38" t="s">
        <v>10</v>
      </c>
      <c r="H38" t="s">
        <v>14</v>
      </c>
      <c r="I38" s="1">
        <v>45061</v>
      </c>
      <c r="J38" s="1"/>
      <c r="K38">
        <v>2023</v>
      </c>
    </row>
    <row r="39" spans="1:11" x14ac:dyDescent="0.3">
      <c r="A39">
        <v>38</v>
      </c>
      <c r="B39" t="s">
        <v>18</v>
      </c>
      <c r="C39" t="s">
        <v>21</v>
      </c>
      <c r="D39" s="2">
        <v>80651</v>
      </c>
      <c r="E39" s="2">
        <v>0</v>
      </c>
      <c r="F39">
        <v>747</v>
      </c>
      <c r="G39" t="s">
        <v>12</v>
      </c>
      <c r="H39" t="s">
        <v>23</v>
      </c>
      <c r="I39" s="1">
        <v>43796</v>
      </c>
      <c r="J39" s="1">
        <v>44543</v>
      </c>
      <c r="K39">
        <v>2019</v>
      </c>
    </row>
    <row r="40" spans="1:11" x14ac:dyDescent="0.3">
      <c r="A40">
        <v>39</v>
      </c>
      <c r="B40" t="s">
        <v>17</v>
      </c>
      <c r="C40" t="s">
        <v>21</v>
      </c>
      <c r="D40" s="2">
        <v>112157</v>
      </c>
      <c r="E40" s="2">
        <v>0</v>
      </c>
      <c r="F40">
        <v>703</v>
      </c>
      <c r="G40" t="s">
        <v>12</v>
      </c>
      <c r="H40" t="s">
        <v>23</v>
      </c>
      <c r="I40" s="1">
        <v>45249</v>
      </c>
      <c r="J40" s="1">
        <v>45952</v>
      </c>
      <c r="K40">
        <v>2023</v>
      </c>
    </row>
    <row r="41" spans="1:11" x14ac:dyDescent="0.3">
      <c r="A41">
        <v>40</v>
      </c>
      <c r="B41" t="s">
        <v>17</v>
      </c>
      <c r="C41" t="s">
        <v>20</v>
      </c>
      <c r="D41" s="2">
        <v>52734</v>
      </c>
      <c r="E41" s="2">
        <v>0</v>
      </c>
      <c r="F41">
        <v>203</v>
      </c>
      <c r="G41" t="s">
        <v>12</v>
      </c>
      <c r="H41" t="s">
        <v>24</v>
      </c>
      <c r="I41" s="1">
        <v>43955</v>
      </c>
      <c r="J41" s="1"/>
      <c r="K41">
        <v>2020</v>
      </c>
    </row>
    <row r="42" spans="1:11" x14ac:dyDescent="0.3">
      <c r="A42">
        <v>41</v>
      </c>
      <c r="B42" t="s">
        <v>19</v>
      </c>
      <c r="C42" t="s">
        <v>16</v>
      </c>
      <c r="D42" s="2">
        <v>174212</v>
      </c>
      <c r="E42" s="2">
        <v>12016</v>
      </c>
      <c r="F42">
        <v>528</v>
      </c>
      <c r="G42" t="s">
        <v>12</v>
      </c>
      <c r="H42" t="s">
        <v>23</v>
      </c>
      <c r="I42" s="1">
        <v>44380</v>
      </c>
      <c r="J42" s="1">
        <v>44908</v>
      </c>
      <c r="K42">
        <v>2021</v>
      </c>
    </row>
    <row r="43" spans="1:11" x14ac:dyDescent="0.3">
      <c r="A43">
        <v>42</v>
      </c>
      <c r="B43" t="s">
        <v>18</v>
      </c>
      <c r="C43" t="s">
        <v>16</v>
      </c>
      <c r="D43" s="2">
        <v>26588</v>
      </c>
      <c r="E43" s="2">
        <v>22395</v>
      </c>
      <c r="F43">
        <v>676</v>
      </c>
      <c r="G43" t="s">
        <v>11</v>
      </c>
      <c r="H43" t="s">
        <v>14</v>
      </c>
      <c r="I43" s="1">
        <v>45015</v>
      </c>
      <c r="J43" s="1">
        <v>45691</v>
      </c>
      <c r="K43">
        <v>2023</v>
      </c>
    </row>
    <row r="44" spans="1:11" x14ac:dyDescent="0.3">
      <c r="A44">
        <v>43</v>
      </c>
      <c r="B44" t="s">
        <v>19</v>
      </c>
      <c r="C44" t="s">
        <v>16</v>
      </c>
      <c r="D44" s="2">
        <v>159033</v>
      </c>
      <c r="E44" s="2">
        <v>47735</v>
      </c>
      <c r="F44">
        <v>709</v>
      </c>
      <c r="G44" t="s">
        <v>10</v>
      </c>
      <c r="H44" t="s">
        <v>13</v>
      </c>
      <c r="I44" s="1">
        <v>44912</v>
      </c>
      <c r="J44" s="1">
        <v>45621</v>
      </c>
      <c r="K44">
        <v>2022</v>
      </c>
    </row>
    <row r="45" spans="1:11" x14ac:dyDescent="0.3">
      <c r="A45">
        <v>44</v>
      </c>
      <c r="B45" t="s">
        <v>18</v>
      </c>
      <c r="C45" t="s">
        <v>20</v>
      </c>
      <c r="D45" s="2">
        <v>174629</v>
      </c>
      <c r="E45" s="2">
        <v>0</v>
      </c>
      <c r="F45">
        <v>288</v>
      </c>
      <c r="G45" t="s">
        <v>11</v>
      </c>
      <c r="H45" t="s">
        <v>13</v>
      </c>
      <c r="I45" s="1">
        <v>43548</v>
      </c>
      <c r="J45" s="1"/>
      <c r="K45">
        <v>2019</v>
      </c>
    </row>
    <row r="46" spans="1:11" x14ac:dyDescent="0.3">
      <c r="A46">
        <v>45</v>
      </c>
      <c r="B46" t="s">
        <v>18</v>
      </c>
      <c r="C46" t="s">
        <v>20</v>
      </c>
      <c r="D46" s="2">
        <v>135051</v>
      </c>
      <c r="E46" s="2">
        <v>0</v>
      </c>
      <c r="F46">
        <v>444</v>
      </c>
      <c r="G46" t="s">
        <v>10</v>
      </c>
      <c r="H46" t="s">
        <v>23</v>
      </c>
      <c r="I46" s="1">
        <v>45212</v>
      </c>
      <c r="J46" s="1"/>
      <c r="K46">
        <v>2023</v>
      </c>
    </row>
    <row r="47" spans="1:11" x14ac:dyDescent="0.3">
      <c r="A47">
        <v>46</v>
      </c>
      <c r="B47" t="s">
        <v>17</v>
      </c>
      <c r="C47" t="s">
        <v>21</v>
      </c>
      <c r="D47" s="2">
        <v>159083</v>
      </c>
      <c r="E47" s="2">
        <v>0</v>
      </c>
      <c r="F47">
        <v>898</v>
      </c>
      <c r="G47" t="s">
        <v>12</v>
      </c>
      <c r="H47" t="s">
        <v>23</v>
      </c>
      <c r="I47" s="1">
        <v>43044</v>
      </c>
      <c r="J47" s="1">
        <v>43942</v>
      </c>
      <c r="K47">
        <v>2017</v>
      </c>
    </row>
    <row r="48" spans="1:11" x14ac:dyDescent="0.3">
      <c r="A48">
        <v>47</v>
      </c>
      <c r="B48" t="s">
        <v>17</v>
      </c>
      <c r="C48" t="s">
        <v>21</v>
      </c>
      <c r="D48" s="2">
        <v>157150</v>
      </c>
      <c r="E48" s="2">
        <v>0</v>
      </c>
      <c r="F48">
        <v>622</v>
      </c>
      <c r="G48" t="s">
        <v>11</v>
      </c>
      <c r="H48" t="s">
        <v>24</v>
      </c>
      <c r="I48" s="1">
        <v>44469</v>
      </c>
      <c r="J48" s="1">
        <v>45091</v>
      </c>
      <c r="K48">
        <v>2021</v>
      </c>
    </row>
    <row r="49" spans="1:11" x14ac:dyDescent="0.3">
      <c r="A49">
        <v>48</v>
      </c>
      <c r="B49" t="s">
        <v>18</v>
      </c>
      <c r="C49" t="s">
        <v>21</v>
      </c>
      <c r="D49" s="2">
        <v>53891</v>
      </c>
      <c r="E49" s="2">
        <v>0</v>
      </c>
      <c r="F49">
        <v>63</v>
      </c>
      <c r="G49" t="s">
        <v>11</v>
      </c>
      <c r="H49" t="s">
        <v>24</v>
      </c>
      <c r="I49" s="1">
        <v>44378</v>
      </c>
      <c r="J49" s="1">
        <v>44441</v>
      </c>
      <c r="K49">
        <v>2021</v>
      </c>
    </row>
    <row r="50" spans="1:11" x14ac:dyDescent="0.3">
      <c r="A50">
        <v>49</v>
      </c>
      <c r="B50" t="s">
        <v>19</v>
      </c>
      <c r="C50" t="s">
        <v>20</v>
      </c>
      <c r="D50" s="2">
        <v>178862</v>
      </c>
      <c r="E50" s="2">
        <v>0</v>
      </c>
      <c r="F50">
        <v>375</v>
      </c>
      <c r="G50" t="s">
        <v>11</v>
      </c>
      <c r="H50" t="s">
        <v>24</v>
      </c>
      <c r="I50" s="1">
        <v>44435</v>
      </c>
      <c r="J50" s="1"/>
      <c r="K50">
        <v>2021</v>
      </c>
    </row>
    <row r="51" spans="1:11" x14ac:dyDescent="0.3">
      <c r="A51">
        <v>50</v>
      </c>
      <c r="B51" t="s">
        <v>19</v>
      </c>
      <c r="C51" t="s">
        <v>20</v>
      </c>
      <c r="D51" s="2">
        <v>6684</v>
      </c>
      <c r="E51" s="2">
        <v>0</v>
      </c>
      <c r="F51">
        <v>283</v>
      </c>
      <c r="G51" t="s">
        <v>12</v>
      </c>
      <c r="H51" t="s">
        <v>15</v>
      </c>
      <c r="I51" s="1">
        <v>45667</v>
      </c>
      <c r="J51" s="1"/>
      <c r="K51">
        <v>2025</v>
      </c>
    </row>
    <row r="52" spans="1:11" x14ac:dyDescent="0.3">
      <c r="A52">
        <v>51</v>
      </c>
      <c r="B52" t="s">
        <v>18</v>
      </c>
      <c r="C52" t="s">
        <v>16</v>
      </c>
      <c r="D52" s="2">
        <v>189902</v>
      </c>
      <c r="E52" s="2">
        <v>36153</v>
      </c>
      <c r="F52">
        <v>330</v>
      </c>
      <c r="G52" t="s">
        <v>11</v>
      </c>
      <c r="H52" t="s">
        <v>14</v>
      </c>
      <c r="I52" s="1">
        <v>45497</v>
      </c>
      <c r="J52" s="1">
        <v>45827</v>
      </c>
      <c r="K52">
        <v>2024</v>
      </c>
    </row>
    <row r="53" spans="1:11" x14ac:dyDescent="0.3">
      <c r="A53">
        <v>52</v>
      </c>
      <c r="B53" t="s">
        <v>18</v>
      </c>
      <c r="C53" t="s">
        <v>16</v>
      </c>
      <c r="D53" s="2">
        <v>49467</v>
      </c>
      <c r="E53" s="2">
        <v>13055</v>
      </c>
      <c r="F53">
        <v>485</v>
      </c>
      <c r="G53" t="s">
        <v>10</v>
      </c>
      <c r="H53" t="s">
        <v>24</v>
      </c>
      <c r="I53" s="1">
        <v>44723</v>
      </c>
      <c r="J53" s="1">
        <v>45208</v>
      </c>
      <c r="K53">
        <v>2022</v>
      </c>
    </row>
    <row r="54" spans="1:11" x14ac:dyDescent="0.3">
      <c r="A54">
        <v>53</v>
      </c>
      <c r="B54" t="s">
        <v>18</v>
      </c>
      <c r="C54" t="s">
        <v>16</v>
      </c>
      <c r="D54" s="2">
        <v>45415</v>
      </c>
      <c r="E54" s="2">
        <v>30980</v>
      </c>
      <c r="F54">
        <v>391</v>
      </c>
      <c r="G54" t="s">
        <v>11</v>
      </c>
      <c r="H54" t="s">
        <v>23</v>
      </c>
      <c r="I54" s="1">
        <v>43742</v>
      </c>
      <c r="J54" s="1">
        <v>44133</v>
      </c>
      <c r="K54">
        <v>2019</v>
      </c>
    </row>
    <row r="55" spans="1:11" x14ac:dyDescent="0.3">
      <c r="A55">
        <v>54</v>
      </c>
      <c r="B55" t="s">
        <v>18</v>
      </c>
      <c r="C55" t="s">
        <v>20</v>
      </c>
      <c r="D55" s="2">
        <v>25332</v>
      </c>
      <c r="E55" s="2">
        <v>0</v>
      </c>
      <c r="F55">
        <v>412</v>
      </c>
      <c r="G55" t="s">
        <v>11</v>
      </c>
      <c r="H55" t="s">
        <v>14</v>
      </c>
      <c r="I55" s="1">
        <v>44729</v>
      </c>
      <c r="J55" s="1"/>
      <c r="K55">
        <v>2022</v>
      </c>
    </row>
    <row r="56" spans="1:11" x14ac:dyDescent="0.3">
      <c r="A56">
        <v>55</v>
      </c>
      <c r="B56" t="s">
        <v>19</v>
      </c>
      <c r="C56" t="s">
        <v>16</v>
      </c>
      <c r="D56" s="2">
        <v>147377</v>
      </c>
      <c r="E56" s="2">
        <v>90120</v>
      </c>
      <c r="F56">
        <v>145</v>
      </c>
      <c r="G56" t="s">
        <v>12</v>
      </c>
      <c r="H56" t="s">
        <v>23</v>
      </c>
      <c r="I56" s="1">
        <v>45781</v>
      </c>
      <c r="J56" s="1">
        <v>45926</v>
      </c>
      <c r="K56">
        <v>2025</v>
      </c>
    </row>
    <row r="57" spans="1:11" x14ac:dyDescent="0.3">
      <c r="A57">
        <v>56</v>
      </c>
      <c r="B57" t="s">
        <v>19</v>
      </c>
      <c r="C57" t="s">
        <v>20</v>
      </c>
      <c r="D57" s="2">
        <v>84818</v>
      </c>
      <c r="E57" s="2">
        <v>0</v>
      </c>
      <c r="F57">
        <v>845</v>
      </c>
      <c r="G57" t="s">
        <v>12</v>
      </c>
      <c r="H57" t="s">
        <v>24</v>
      </c>
      <c r="I57" s="1">
        <v>43530</v>
      </c>
      <c r="J57" s="1"/>
      <c r="K57">
        <v>2019</v>
      </c>
    </row>
    <row r="58" spans="1:11" x14ac:dyDescent="0.3">
      <c r="A58">
        <v>57</v>
      </c>
      <c r="B58" t="s">
        <v>18</v>
      </c>
      <c r="C58" t="s">
        <v>16</v>
      </c>
      <c r="D58" s="2">
        <v>30423</v>
      </c>
      <c r="E58" s="2">
        <v>26074</v>
      </c>
      <c r="F58">
        <v>738</v>
      </c>
      <c r="G58" t="s">
        <v>12</v>
      </c>
      <c r="H58" t="s">
        <v>15</v>
      </c>
      <c r="I58" s="1">
        <v>43189</v>
      </c>
      <c r="J58" s="1">
        <v>43927</v>
      </c>
      <c r="K58">
        <v>2018</v>
      </c>
    </row>
    <row r="59" spans="1:11" x14ac:dyDescent="0.3">
      <c r="A59">
        <v>58</v>
      </c>
      <c r="B59" t="s">
        <v>19</v>
      </c>
      <c r="C59" t="s">
        <v>16</v>
      </c>
      <c r="D59" s="2">
        <v>152472</v>
      </c>
      <c r="E59" s="2">
        <v>22100</v>
      </c>
      <c r="F59">
        <v>584</v>
      </c>
      <c r="G59" t="s">
        <v>12</v>
      </c>
      <c r="H59" t="s">
        <v>13</v>
      </c>
      <c r="I59" s="1">
        <v>44568</v>
      </c>
      <c r="J59" s="1">
        <v>45152</v>
      </c>
      <c r="K59">
        <v>2022</v>
      </c>
    </row>
    <row r="60" spans="1:11" x14ac:dyDescent="0.3">
      <c r="A60">
        <v>59</v>
      </c>
      <c r="B60" t="s">
        <v>18</v>
      </c>
      <c r="C60" t="s">
        <v>16</v>
      </c>
      <c r="D60" s="2">
        <v>33042</v>
      </c>
      <c r="E60" s="2">
        <v>9654</v>
      </c>
      <c r="F60">
        <v>189</v>
      </c>
      <c r="G60" t="s">
        <v>10</v>
      </c>
      <c r="H60" t="s">
        <v>24</v>
      </c>
      <c r="I60" s="1">
        <v>44060</v>
      </c>
      <c r="J60" s="1">
        <v>44249</v>
      </c>
      <c r="K60">
        <v>2020</v>
      </c>
    </row>
    <row r="61" spans="1:11" x14ac:dyDescent="0.3">
      <c r="A61">
        <v>60</v>
      </c>
      <c r="B61" t="s">
        <v>19</v>
      </c>
      <c r="C61" t="s">
        <v>16</v>
      </c>
      <c r="D61" s="2">
        <v>192327</v>
      </c>
      <c r="E61" s="2">
        <v>45798</v>
      </c>
      <c r="F61">
        <v>402</v>
      </c>
      <c r="G61" t="s">
        <v>10</v>
      </c>
      <c r="H61" t="s">
        <v>14</v>
      </c>
      <c r="I61" s="1">
        <v>44626</v>
      </c>
      <c r="J61" s="1">
        <v>45028</v>
      </c>
      <c r="K61">
        <v>2022</v>
      </c>
    </row>
    <row r="62" spans="1:11" x14ac:dyDescent="0.3">
      <c r="A62">
        <v>61</v>
      </c>
      <c r="B62" t="s">
        <v>17</v>
      </c>
      <c r="C62" t="s">
        <v>16</v>
      </c>
      <c r="D62" s="2">
        <v>11811</v>
      </c>
      <c r="E62" s="2">
        <v>26066</v>
      </c>
      <c r="F62">
        <v>215</v>
      </c>
      <c r="G62" t="s">
        <v>11</v>
      </c>
      <c r="H62" t="s">
        <v>23</v>
      </c>
      <c r="I62" s="1">
        <v>45791</v>
      </c>
      <c r="J62" s="1">
        <v>46006</v>
      </c>
      <c r="K62">
        <v>2025</v>
      </c>
    </row>
    <row r="63" spans="1:11" x14ac:dyDescent="0.3">
      <c r="A63">
        <v>62</v>
      </c>
      <c r="B63" t="s">
        <v>19</v>
      </c>
      <c r="C63" t="s">
        <v>16</v>
      </c>
      <c r="D63" s="2">
        <v>71636</v>
      </c>
      <c r="E63" s="2">
        <v>12348</v>
      </c>
      <c r="F63">
        <v>344</v>
      </c>
      <c r="G63" t="s">
        <v>10</v>
      </c>
      <c r="H63" t="s">
        <v>15</v>
      </c>
      <c r="I63" s="1">
        <v>43710</v>
      </c>
      <c r="J63" s="1">
        <v>44054</v>
      </c>
      <c r="K63">
        <v>2019</v>
      </c>
    </row>
    <row r="64" spans="1:11" x14ac:dyDescent="0.3">
      <c r="A64">
        <v>63</v>
      </c>
      <c r="B64" t="s">
        <v>18</v>
      </c>
      <c r="C64" t="s">
        <v>16</v>
      </c>
      <c r="D64" s="2">
        <v>176522</v>
      </c>
      <c r="E64" s="2">
        <v>41391</v>
      </c>
      <c r="F64">
        <v>571</v>
      </c>
      <c r="G64" t="s">
        <v>11</v>
      </c>
      <c r="H64" t="s">
        <v>24</v>
      </c>
      <c r="I64" s="1">
        <v>43755</v>
      </c>
      <c r="J64" s="1">
        <v>44326</v>
      </c>
      <c r="K64">
        <v>2019</v>
      </c>
    </row>
    <row r="65" spans="1:11" x14ac:dyDescent="0.3">
      <c r="A65">
        <v>64</v>
      </c>
      <c r="B65" t="s">
        <v>18</v>
      </c>
      <c r="C65" t="s">
        <v>16</v>
      </c>
      <c r="D65" s="2">
        <v>186509</v>
      </c>
      <c r="E65" s="2">
        <v>22668</v>
      </c>
      <c r="F65">
        <v>688</v>
      </c>
      <c r="G65" t="s">
        <v>12</v>
      </c>
      <c r="H65" t="s">
        <v>15</v>
      </c>
      <c r="I65" s="1">
        <v>45073</v>
      </c>
      <c r="J65" s="1">
        <v>45761</v>
      </c>
      <c r="K65">
        <v>2023</v>
      </c>
    </row>
    <row r="66" spans="1:11" x14ac:dyDescent="0.3">
      <c r="A66">
        <v>65</v>
      </c>
      <c r="B66" t="s">
        <v>19</v>
      </c>
      <c r="C66" t="s">
        <v>16</v>
      </c>
      <c r="D66" s="2">
        <v>80217</v>
      </c>
      <c r="E66" s="2">
        <v>27409</v>
      </c>
      <c r="F66">
        <v>425</v>
      </c>
      <c r="G66" t="s">
        <v>10</v>
      </c>
      <c r="H66" t="s">
        <v>14</v>
      </c>
      <c r="I66" s="1">
        <v>44416</v>
      </c>
      <c r="J66" s="1">
        <v>44841</v>
      </c>
      <c r="K66">
        <v>2021</v>
      </c>
    </row>
    <row r="67" spans="1:11" x14ac:dyDescent="0.3">
      <c r="A67">
        <v>66</v>
      </c>
      <c r="B67" t="s">
        <v>17</v>
      </c>
      <c r="C67" t="s">
        <v>21</v>
      </c>
      <c r="D67" s="2">
        <v>22188</v>
      </c>
      <c r="E67" s="2">
        <v>0</v>
      </c>
      <c r="F67">
        <v>149</v>
      </c>
      <c r="G67" t="s">
        <v>12</v>
      </c>
      <c r="H67" t="s">
        <v>23</v>
      </c>
      <c r="I67" s="1">
        <v>44683</v>
      </c>
      <c r="J67" s="1">
        <v>44832</v>
      </c>
      <c r="K67">
        <v>2022</v>
      </c>
    </row>
    <row r="68" spans="1:11" x14ac:dyDescent="0.3">
      <c r="A68">
        <v>67</v>
      </c>
      <c r="B68" t="s">
        <v>19</v>
      </c>
      <c r="C68" t="s">
        <v>16</v>
      </c>
      <c r="D68" s="2">
        <v>84710</v>
      </c>
      <c r="E68" s="2">
        <v>2977</v>
      </c>
      <c r="F68">
        <v>416</v>
      </c>
      <c r="G68" t="s">
        <v>12</v>
      </c>
      <c r="H68" t="s">
        <v>24</v>
      </c>
      <c r="I68" s="1">
        <v>44453</v>
      </c>
      <c r="J68" s="1">
        <v>44869</v>
      </c>
      <c r="K68">
        <v>2021</v>
      </c>
    </row>
    <row r="69" spans="1:11" x14ac:dyDescent="0.3">
      <c r="A69">
        <v>68</v>
      </c>
      <c r="B69" t="s">
        <v>18</v>
      </c>
      <c r="C69" t="s">
        <v>16</v>
      </c>
      <c r="D69" s="2">
        <v>115182</v>
      </c>
      <c r="E69" s="2">
        <v>27240</v>
      </c>
      <c r="F69">
        <v>645</v>
      </c>
      <c r="G69" t="s">
        <v>10</v>
      </c>
      <c r="H69" t="s">
        <v>14</v>
      </c>
      <c r="I69" s="1">
        <v>44889</v>
      </c>
      <c r="J69" s="1">
        <v>45534</v>
      </c>
      <c r="K69">
        <v>2022</v>
      </c>
    </row>
    <row r="70" spans="1:11" x14ac:dyDescent="0.3">
      <c r="A70">
        <v>69</v>
      </c>
      <c r="B70" t="s">
        <v>18</v>
      </c>
      <c r="C70" t="s">
        <v>16</v>
      </c>
      <c r="D70" s="2">
        <v>172568</v>
      </c>
      <c r="E70" s="2">
        <v>85400</v>
      </c>
      <c r="F70">
        <v>890</v>
      </c>
      <c r="G70" t="s">
        <v>11</v>
      </c>
      <c r="H70" t="s">
        <v>23</v>
      </c>
      <c r="I70" s="1">
        <v>43907</v>
      </c>
      <c r="J70" s="1">
        <v>44797</v>
      </c>
      <c r="K70">
        <v>2020</v>
      </c>
    </row>
    <row r="71" spans="1:11" x14ac:dyDescent="0.3">
      <c r="A71">
        <v>70</v>
      </c>
      <c r="B71" t="s">
        <v>18</v>
      </c>
      <c r="C71" t="s">
        <v>16</v>
      </c>
      <c r="D71" s="2">
        <v>38704</v>
      </c>
      <c r="E71" s="2">
        <v>10149</v>
      </c>
      <c r="F71">
        <v>451</v>
      </c>
      <c r="G71" t="s">
        <v>10</v>
      </c>
      <c r="H71" t="s">
        <v>14</v>
      </c>
      <c r="I71" s="1">
        <v>44073</v>
      </c>
      <c r="J71" s="1">
        <v>44524</v>
      </c>
      <c r="K71">
        <v>2020</v>
      </c>
    </row>
    <row r="72" spans="1:11" x14ac:dyDescent="0.3">
      <c r="A72">
        <v>71</v>
      </c>
      <c r="B72" t="s">
        <v>18</v>
      </c>
      <c r="C72" t="s">
        <v>16</v>
      </c>
      <c r="D72" s="2">
        <v>60218</v>
      </c>
      <c r="E72" s="2">
        <v>22710</v>
      </c>
      <c r="F72">
        <v>281</v>
      </c>
      <c r="G72" t="s">
        <v>10</v>
      </c>
      <c r="H72" t="s">
        <v>15</v>
      </c>
      <c r="I72" s="1">
        <v>44570</v>
      </c>
      <c r="J72" s="1">
        <v>44851</v>
      </c>
      <c r="K72">
        <v>2022</v>
      </c>
    </row>
    <row r="73" spans="1:11" x14ac:dyDescent="0.3">
      <c r="A73">
        <v>72</v>
      </c>
      <c r="B73" t="s">
        <v>17</v>
      </c>
      <c r="C73" t="s">
        <v>16</v>
      </c>
      <c r="D73" s="2">
        <v>108917</v>
      </c>
      <c r="E73" s="2">
        <v>49368</v>
      </c>
      <c r="F73">
        <v>164</v>
      </c>
      <c r="G73" t="s">
        <v>11</v>
      </c>
      <c r="H73" t="s">
        <v>24</v>
      </c>
      <c r="I73" s="1">
        <v>43849</v>
      </c>
      <c r="J73" s="1">
        <v>44013</v>
      </c>
      <c r="K73">
        <v>2020</v>
      </c>
    </row>
    <row r="74" spans="1:11" x14ac:dyDescent="0.3">
      <c r="A74">
        <v>73</v>
      </c>
      <c r="B74" t="s">
        <v>19</v>
      </c>
      <c r="C74" t="s">
        <v>16</v>
      </c>
      <c r="D74" s="2">
        <v>101394</v>
      </c>
      <c r="E74" s="2">
        <v>14702</v>
      </c>
      <c r="F74">
        <v>656</v>
      </c>
      <c r="G74" t="s">
        <v>12</v>
      </c>
      <c r="H74" t="s">
        <v>23</v>
      </c>
      <c r="I74" s="1">
        <v>44717</v>
      </c>
      <c r="J74" s="1">
        <v>45373</v>
      </c>
      <c r="K74">
        <v>2022</v>
      </c>
    </row>
    <row r="75" spans="1:11" x14ac:dyDescent="0.3">
      <c r="A75">
        <v>74</v>
      </c>
      <c r="B75" t="s">
        <v>17</v>
      </c>
      <c r="C75" t="s">
        <v>20</v>
      </c>
      <c r="D75" s="2">
        <v>11778</v>
      </c>
      <c r="E75" s="2">
        <v>0</v>
      </c>
      <c r="F75">
        <v>450</v>
      </c>
      <c r="G75" t="s">
        <v>11</v>
      </c>
      <c r="H75" t="s">
        <v>24</v>
      </c>
      <c r="I75" s="1">
        <v>44625</v>
      </c>
      <c r="J75" s="1">
        <v>45075</v>
      </c>
      <c r="K75">
        <v>2022</v>
      </c>
    </row>
    <row r="76" spans="1:11" x14ac:dyDescent="0.3">
      <c r="A76">
        <v>75</v>
      </c>
      <c r="B76" t="s">
        <v>17</v>
      </c>
      <c r="C76" t="s">
        <v>21</v>
      </c>
      <c r="D76" s="2">
        <v>136103</v>
      </c>
      <c r="E76" s="2">
        <v>0</v>
      </c>
      <c r="F76">
        <v>749</v>
      </c>
      <c r="G76" t="s">
        <v>11</v>
      </c>
      <c r="H76" t="s">
        <v>23</v>
      </c>
      <c r="I76" s="1">
        <v>44040</v>
      </c>
      <c r="J76" s="1">
        <v>44789</v>
      </c>
      <c r="K76">
        <v>2020</v>
      </c>
    </row>
    <row r="77" spans="1:11" x14ac:dyDescent="0.3">
      <c r="A77">
        <v>76</v>
      </c>
      <c r="B77" t="s">
        <v>17</v>
      </c>
      <c r="C77" t="s">
        <v>21</v>
      </c>
      <c r="D77" s="2">
        <v>198799</v>
      </c>
      <c r="E77" s="2">
        <v>0</v>
      </c>
      <c r="F77">
        <v>377</v>
      </c>
      <c r="G77" t="s">
        <v>10</v>
      </c>
      <c r="H77" t="s">
        <v>14</v>
      </c>
      <c r="I77" s="1">
        <v>43767</v>
      </c>
      <c r="J77" s="1">
        <v>44144</v>
      </c>
      <c r="K77">
        <v>2019</v>
      </c>
    </row>
    <row r="78" spans="1:11" x14ac:dyDescent="0.3">
      <c r="A78">
        <v>77</v>
      </c>
      <c r="B78" t="s">
        <v>19</v>
      </c>
      <c r="C78" t="s">
        <v>21</v>
      </c>
      <c r="D78" s="2">
        <v>165433</v>
      </c>
      <c r="E78" s="2">
        <v>0</v>
      </c>
      <c r="F78">
        <v>70</v>
      </c>
      <c r="G78" t="s">
        <v>10</v>
      </c>
      <c r="H78" t="s">
        <v>14</v>
      </c>
      <c r="I78" s="1">
        <v>45239</v>
      </c>
      <c r="J78" s="1">
        <v>45309</v>
      </c>
      <c r="K78">
        <v>2023</v>
      </c>
    </row>
    <row r="79" spans="1:11" x14ac:dyDescent="0.3">
      <c r="A79">
        <v>78</v>
      </c>
      <c r="B79" t="s">
        <v>18</v>
      </c>
      <c r="C79" t="s">
        <v>20</v>
      </c>
      <c r="D79" s="2">
        <v>58122</v>
      </c>
      <c r="E79" s="2">
        <v>0</v>
      </c>
      <c r="F79">
        <v>81</v>
      </c>
      <c r="G79" t="s">
        <v>10</v>
      </c>
      <c r="H79" t="s">
        <v>14</v>
      </c>
      <c r="I79" s="1">
        <v>44228</v>
      </c>
      <c r="J79" s="1"/>
      <c r="K79">
        <v>2021</v>
      </c>
    </row>
    <row r="80" spans="1:11" x14ac:dyDescent="0.3">
      <c r="A80">
        <v>79</v>
      </c>
      <c r="B80" t="s">
        <v>19</v>
      </c>
      <c r="C80" t="s">
        <v>20</v>
      </c>
      <c r="D80" s="2">
        <v>171423</v>
      </c>
      <c r="E80" s="2">
        <v>0</v>
      </c>
      <c r="F80">
        <v>598</v>
      </c>
      <c r="G80" t="s">
        <v>10</v>
      </c>
      <c r="H80" t="s">
        <v>23</v>
      </c>
      <c r="I80" s="1">
        <v>43357</v>
      </c>
      <c r="J80" s="1"/>
      <c r="K80">
        <v>2018</v>
      </c>
    </row>
    <row r="81" spans="1:11" x14ac:dyDescent="0.3">
      <c r="A81">
        <v>80</v>
      </c>
      <c r="B81" t="s">
        <v>17</v>
      </c>
      <c r="C81" t="s">
        <v>21</v>
      </c>
      <c r="D81" s="2">
        <v>23429</v>
      </c>
      <c r="E81" s="2">
        <v>0</v>
      </c>
      <c r="F81">
        <v>477</v>
      </c>
      <c r="G81" t="s">
        <v>10</v>
      </c>
      <c r="H81" t="s">
        <v>24</v>
      </c>
      <c r="I81" s="1">
        <v>44948</v>
      </c>
      <c r="J81" s="1">
        <v>45425</v>
      </c>
      <c r="K81">
        <v>2023</v>
      </c>
    </row>
    <row r="82" spans="1:11" x14ac:dyDescent="0.3">
      <c r="A82">
        <v>81</v>
      </c>
      <c r="B82" t="s">
        <v>18</v>
      </c>
      <c r="C82" t="s">
        <v>16</v>
      </c>
      <c r="D82" s="2">
        <v>145706</v>
      </c>
      <c r="E82" s="2">
        <v>17596</v>
      </c>
      <c r="F82">
        <v>672</v>
      </c>
      <c r="G82" t="s">
        <v>10</v>
      </c>
      <c r="H82" t="s">
        <v>14</v>
      </c>
      <c r="I82" s="1">
        <v>43668</v>
      </c>
      <c r="J82" s="1">
        <v>44340</v>
      </c>
      <c r="K82">
        <v>2019</v>
      </c>
    </row>
    <row r="83" spans="1:11" x14ac:dyDescent="0.3">
      <c r="A83">
        <v>82</v>
      </c>
      <c r="B83" t="s">
        <v>18</v>
      </c>
      <c r="C83" t="s">
        <v>20</v>
      </c>
      <c r="D83" s="2">
        <v>73643</v>
      </c>
      <c r="E83" s="2">
        <v>0</v>
      </c>
      <c r="F83">
        <v>344</v>
      </c>
      <c r="G83" t="s">
        <v>11</v>
      </c>
      <c r="H83" t="s">
        <v>14</v>
      </c>
      <c r="I83" s="1">
        <v>44509</v>
      </c>
      <c r="J83" s="1">
        <v>44853</v>
      </c>
      <c r="K83">
        <v>2021</v>
      </c>
    </row>
    <row r="84" spans="1:11" x14ac:dyDescent="0.3">
      <c r="A84">
        <v>83</v>
      </c>
      <c r="B84" t="s">
        <v>18</v>
      </c>
      <c r="C84" t="s">
        <v>20</v>
      </c>
      <c r="D84" s="2">
        <v>82060</v>
      </c>
      <c r="E84" s="2">
        <v>0</v>
      </c>
      <c r="F84">
        <v>877</v>
      </c>
      <c r="G84" t="s">
        <v>11</v>
      </c>
      <c r="H84" t="s">
        <v>23</v>
      </c>
      <c r="I84" s="1">
        <v>43359</v>
      </c>
      <c r="J84" s="1">
        <v>44236</v>
      </c>
      <c r="K84">
        <v>2018</v>
      </c>
    </row>
    <row r="85" spans="1:11" x14ac:dyDescent="0.3">
      <c r="A85">
        <v>84</v>
      </c>
      <c r="B85" t="s">
        <v>18</v>
      </c>
      <c r="C85" t="s">
        <v>21</v>
      </c>
      <c r="D85" s="2">
        <v>145228</v>
      </c>
      <c r="E85" s="2">
        <v>0</v>
      </c>
      <c r="F85">
        <v>279</v>
      </c>
      <c r="G85" t="s">
        <v>11</v>
      </c>
      <c r="H85" t="s">
        <v>23</v>
      </c>
      <c r="I85" s="1">
        <v>44588</v>
      </c>
      <c r="J85" s="1">
        <v>44867</v>
      </c>
      <c r="K85">
        <v>2022</v>
      </c>
    </row>
    <row r="86" spans="1:11" x14ac:dyDescent="0.3">
      <c r="A86">
        <v>85</v>
      </c>
      <c r="B86" t="s">
        <v>18</v>
      </c>
      <c r="C86" t="s">
        <v>21</v>
      </c>
      <c r="D86" s="2">
        <v>131670</v>
      </c>
      <c r="E86" s="2">
        <v>0</v>
      </c>
      <c r="F86">
        <v>626</v>
      </c>
      <c r="G86" t="s">
        <v>11</v>
      </c>
      <c r="H86" t="s">
        <v>13</v>
      </c>
      <c r="I86" s="1">
        <v>44586</v>
      </c>
      <c r="J86" s="1">
        <v>45212</v>
      </c>
      <c r="K86">
        <v>2022</v>
      </c>
    </row>
    <row r="87" spans="1:11" x14ac:dyDescent="0.3">
      <c r="A87">
        <v>86</v>
      </c>
      <c r="B87" t="s">
        <v>17</v>
      </c>
      <c r="C87" t="s">
        <v>20</v>
      </c>
      <c r="D87" s="2">
        <v>180094</v>
      </c>
      <c r="E87" s="2">
        <v>0</v>
      </c>
      <c r="F87">
        <v>150</v>
      </c>
      <c r="G87" t="s">
        <v>10</v>
      </c>
      <c r="H87" t="s">
        <v>24</v>
      </c>
      <c r="I87" s="1">
        <v>45291</v>
      </c>
      <c r="J87" s="1"/>
      <c r="K87">
        <v>2023</v>
      </c>
    </row>
    <row r="88" spans="1:11" x14ac:dyDescent="0.3">
      <c r="A88">
        <v>87</v>
      </c>
      <c r="B88" t="s">
        <v>17</v>
      </c>
      <c r="C88" t="s">
        <v>21</v>
      </c>
      <c r="D88" s="2">
        <v>94031</v>
      </c>
      <c r="E88" s="2">
        <v>0</v>
      </c>
      <c r="F88">
        <v>806</v>
      </c>
      <c r="G88" t="s">
        <v>10</v>
      </c>
      <c r="H88" t="s">
        <v>14</v>
      </c>
      <c r="I88" s="1">
        <v>44612</v>
      </c>
      <c r="J88" s="1">
        <v>45418</v>
      </c>
      <c r="K88">
        <v>2022</v>
      </c>
    </row>
    <row r="89" spans="1:11" x14ac:dyDescent="0.3">
      <c r="A89">
        <v>88</v>
      </c>
      <c r="B89" t="s">
        <v>19</v>
      </c>
      <c r="C89" t="s">
        <v>20</v>
      </c>
      <c r="D89" s="2">
        <v>82076</v>
      </c>
      <c r="E89" s="2">
        <v>0</v>
      </c>
      <c r="F89">
        <v>869</v>
      </c>
      <c r="G89" t="s">
        <v>12</v>
      </c>
      <c r="H89" t="s">
        <v>15</v>
      </c>
      <c r="I89" s="1">
        <v>44203</v>
      </c>
      <c r="J89" s="1"/>
      <c r="K89">
        <v>2021</v>
      </c>
    </row>
    <row r="90" spans="1:11" x14ac:dyDescent="0.3">
      <c r="A90">
        <v>89</v>
      </c>
      <c r="B90" t="s">
        <v>18</v>
      </c>
      <c r="C90" t="s">
        <v>20</v>
      </c>
      <c r="D90" s="2">
        <v>121239</v>
      </c>
      <c r="E90" s="2">
        <v>0</v>
      </c>
      <c r="F90">
        <v>444</v>
      </c>
      <c r="G90" t="s">
        <v>12</v>
      </c>
      <c r="H90" t="s">
        <v>14</v>
      </c>
      <c r="I90" s="1">
        <v>44562</v>
      </c>
      <c r="J90" s="1"/>
      <c r="K90">
        <v>2022</v>
      </c>
    </row>
    <row r="91" spans="1:11" x14ac:dyDescent="0.3">
      <c r="A91">
        <v>90</v>
      </c>
      <c r="B91" t="s">
        <v>17</v>
      </c>
      <c r="C91" t="s">
        <v>21</v>
      </c>
      <c r="D91" s="2">
        <v>23758</v>
      </c>
      <c r="E91" s="2">
        <v>0</v>
      </c>
      <c r="F91">
        <v>857</v>
      </c>
      <c r="G91" t="s">
        <v>11</v>
      </c>
      <c r="H91" t="s">
        <v>23</v>
      </c>
      <c r="I91" s="1">
        <v>43224</v>
      </c>
      <c r="J91" s="1">
        <v>44081</v>
      </c>
      <c r="K91">
        <v>2018</v>
      </c>
    </row>
    <row r="92" spans="1:11" x14ac:dyDescent="0.3">
      <c r="A92">
        <v>91</v>
      </c>
      <c r="B92" t="s">
        <v>18</v>
      </c>
      <c r="C92" t="s">
        <v>20</v>
      </c>
      <c r="D92" s="2">
        <v>105269</v>
      </c>
      <c r="E92" s="2">
        <v>0</v>
      </c>
      <c r="F92">
        <v>454</v>
      </c>
      <c r="G92" t="s">
        <v>12</v>
      </c>
      <c r="H92" t="s">
        <v>23</v>
      </c>
      <c r="I92" s="1">
        <v>44887</v>
      </c>
      <c r="J92" s="1"/>
      <c r="K92">
        <v>2022</v>
      </c>
    </row>
    <row r="93" spans="1:11" x14ac:dyDescent="0.3">
      <c r="A93">
        <v>92</v>
      </c>
      <c r="B93" t="s">
        <v>19</v>
      </c>
      <c r="C93" t="s">
        <v>21</v>
      </c>
      <c r="D93" s="2">
        <v>148320</v>
      </c>
      <c r="E93" s="2">
        <v>0</v>
      </c>
      <c r="F93">
        <v>875</v>
      </c>
      <c r="G93" t="s">
        <v>12</v>
      </c>
      <c r="H93" t="s">
        <v>15</v>
      </c>
      <c r="I93" s="1">
        <v>44287</v>
      </c>
      <c r="J93" s="1">
        <v>45162</v>
      </c>
      <c r="K93">
        <v>2021</v>
      </c>
    </row>
    <row r="94" spans="1:11" x14ac:dyDescent="0.3">
      <c r="A94">
        <v>93</v>
      </c>
      <c r="B94" t="s">
        <v>18</v>
      </c>
      <c r="C94" t="s">
        <v>16</v>
      </c>
      <c r="D94" s="2">
        <v>175665</v>
      </c>
      <c r="E94" s="2">
        <v>91640</v>
      </c>
      <c r="F94">
        <v>857</v>
      </c>
      <c r="G94" t="s">
        <v>12</v>
      </c>
      <c r="H94" t="s">
        <v>13</v>
      </c>
      <c r="I94" s="1">
        <v>43879</v>
      </c>
      <c r="J94" s="1">
        <v>44736</v>
      </c>
      <c r="K94">
        <v>2020</v>
      </c>
    </row>
    <row r="95" spans="1:11" x14ac:dyDescent="0.3">
      <c r="A95">
        <v>94</v>
      </c>
      <c r="B95" t="s">
        <v>17</v>
      </c>
      <c r="C95" t="s">
        <v>16</v>
      </c>
      <c r="D95" s="2">
        <v>114776</v>
      </c>
      <c r="E95" s="2">
        <v>39716</v>
      </c>
      <c r="F95">
        <v>307</v>
      </c>
      <c r="G95" t="s">
        <v>11</v>
      </c>
      <c r="H95" t="s">
        <v>13</v>
      </c>
      <c r="I95" s="1">
        <v>44681</v>
      </c>
      <c r="J95" s="1">
        <v>44988</v>
      </c>
      <c r="K95">
        <v>2022</v>
      </c>
    </row>
    <row r="96" spans="1:11" x14ac:dyDescent="0.3">
      <c r="A96">
        <v>95</v>
      </c>
      <c r="B96" t="s">
        <v>19</v>
      </c>
      <c r="C96" t="s">
        <v>16</v>
      </c>
      <c r="D96" s="2">
        <v>160788</v>
      </c>
      <c r="E96" s="2">
        <v>41575</v>
      </c>
      <c r="F96">
        <v>491</v>
      </c>
      <c r="G96" t="s">
        <v>10</v>
      </c>
      <c r="H96" t="s">
        <v>23</v>
      </c>
      <c r="I96" s="1">
        <v>44213</v>
      </c>
      <c r="J96" s="1">
        <v>44704</v>
      </c>
      <c r="K96">
        <v>2021</v>
      </c>
    </row>
    <row r="97" spans="1:11" x14ac:dyDescent="0.3">
      <c r="A97">
        <v>96</v>
      </c>
      <c r="B97" t="s">
        <v>19</v>
      </c>
      <c r="C97" t="s">
        <v>16</v>
      </c>
      <c r="D97" s="2">
        <v>93578</v>
      </c>
      <c r="E97" s="2">
        <v>32323</v>
      </c>
      <c r="F97">
        <v>699</v>
      </c>
      <c r="G97" t="s">
        <v>12</v>
      </c>
      <c r="H97" t="s">
        <v>15</v>
      </c>
      <c r="I97" s="1">
        <v>44946</v>
      </c>
      <c r="J97" s="1">
        <v>45645</v>
      </c>
      <c r="K97">
        <v>2023</v>
      </c>
    </row>
    <row r="98" spans="1:11" x14ac:dyDescent="0.3">
      <c r="A98">
        <v>97</v>
      </c>
      <c r="B98" t="s">
        <v>18</v>
      </c>
      <c r="C98" t="s">
        <v>16</v>
      </c>
      <c r="D98" s="2">
        <v>176113</v>
      </c>
      <c r="E98" s="2">
        <v>46940</v>
      </c>
      <c r="F98">
        <v>723</v>
      </c>
      <c r="G98" t="s">
        <v>10</v>
      </c>
      <c r="H98" t="s">
        <v>13</v>
      </c>
      <c r="I98" s="1">
        <v>44429</v>
      </c>
      <c r="J98" s="1">
        <v>45152</v>
      </c>
      <c r="K98">
        <v>2021</v>
      </c>
    </row>
    <row r="99" spans="1:11" x14ac:dyDescent="0.3">
      <c r="A99">
        <v>98</v>
      </c>
      <c r="B99" t="s">
        <v>17</v>
      </c>
      <c r="C99" t="s">
        <v>16</v>
      </c>
      <c r="D99" s="2">
        <v>191734</v>
      </c>
      <c r="E99" s="2">
        <v>167790</v>
      </c>
      <c r="F99">
        <v>712</v>
      </c>
      <c r="G99" t="s">
        <v>10</v>
      </c>
      <c r="H99" t="s">
        <v>13</v>
      </c>
      <c r="I99" s="1">
        <v>44290</v>
      </c>
      <c r="J99" s="1">
        <v>45002</v>
      </c>
      <c r="K99">
        <v>2021</v>
      </c>
    </row>
    <row r="100" spans="1:11" x14ac:dyDescent="0.3">
      <c r="A100">
        <v>99</v>
      </c>
      <c r="B100" t="s">
        <v>17</v>
      </c>
      <c r="C100" t="s">
        <v>16</v>
      </c>
      <c r="D100" s="2">
        <v>31762</v>
      </c>
      <c r="E100" s="2">
        <v>17979</v>
      </c>
      <c r="F100">
        <v>859</v>
      </c>
      <c r="G100" t="s">
        <v>12</v>
      </c>
      <c r="H100" t="s">
        <v>23</v>
      </c>
      <c r="I100" s="1">
        <v>45126</v>
      </c>
      <c r="J100" s="1">
        <v>45985</v>
      </c>
      <c r="K100">
        <v>2023</v>
      </c>
    </row>
    <row r="101" spans="1:11" x14ac:dyDescent="0.3">
      <c r="A101">
        <v>100</v>
      </c>
      <c r="B101" t="s">
        <v>19</v>
      </c>
      <c r="C101" t="s">
        <v>16</v>
      </c>
      <c r="D101" s="2">
        <v>154569</v>
      </c>
      <c r="E101" s="2">
        <v>12191</v>
      </c>
      <c r="F101">
        <v>889</v>
      </c>
      <c r="G101" t="s">
        <v>12</v>
      </c>
      <c r="H101" t="s">
        <v>15</v>
      </c>
      <c r="I101" s="1">
        <v>43969</v>
      </c>
      <c r="J101" s="1">
        <v>44858</v>
      </c>
      <c r="K101">
        <v>2020</v>
      </c>
    </row>
    <row r="102" spans="1:11" x14ac:dyDescent="0.3">
      <c r="A102">
        <v>101</v>
      </c>
      <c r="B102" t="s">
        <v>19</v>
      </c>
      <c r="C102" t="s">
        <v>16</v>
      </c>
      <c r="D102" s="2">
        <v>72712</v>
      </c>
      <c r="E102" s="2">
        <v>17599</v>
      </c>
      <c r="F102">
        <v>472</v>
      </c>
      <c r="G102" t="s">
        <v>11</v>
      </c>
      <c r="H102" t="s">
        <v>13</v>
      </c>
      <c r="I102" s="1">
        <v>44703</v>
      </c>
      <c r="J102" s="1">
        <v>45175</v>
      </c>
      <c r="K102">
        <v>2022</v>
      </c>
    </row>
    <row r="103" spans="1:11" x14ac:dyDescent="0.3">
      <c r="A103">
        <v>102</v>
      </c>
      <c r="B103" t="s">
        <v>18</v>
      </c>
      <c r="C103" t="s">
        <v>20</v>
      </c>
      <c r="D103" s="2">
        <v>63111</v>
      </c>
      <c r="E103" s="2">
        <v>0</v>
      </c>
      <c r="F103">
        <v>738</v>
      </c>
      <c r="G103" t="s">
        <v>12</v>
      </c>
      <c r="H103" t="s">
        <v>14</v>
      </c>
      <c r="I103" s="1">
        <v>43119</v>
      </c>
      <c r="J103" s="1"/>
      <c r="K103">
        <v>2018</v>
      </c>
    </row>
    <row r="104" spans="1:11" x14ac:dyDescent="0.3">
      <c r="A104">
        <v>103</v>
      </c>
      <c r="B104" t="s">
        <v>18</v>
      </c>
      <c r="C104" t="s">
        <v>21</v>
      </c>
      <c r="D104" s="2">
        <v>59353</v>
      </c>
      <c r="E104" s="2">
        <v>0</v>
      </c>
      <c r="F104">
        <v>278</v>
      </c>
      <c r="G104" t="s">
        <v>12</v>
      </c>
      <c r="H104" t="s">
        <v>15</v>
      </c>
      <c r="I104" s="1">
        <v>43691</v>
      </c>
      <c r="J104" s="1">
        <v>43969</v>
      </c>
      <c r="K104">
        <v>2019</v>
      </c>
    </row>
    <row r="105" spans="1:11" x14ac:dyDescent="0.3">
      <c r="A105">
        <v>104</v>
      </c>
      <c r="B105" t="s">
        <v>18</v>
      </c>
      <c r="C105" t="s">
        <v>16</v>
      </c>
      <c r="D105" s="2">
        <v>189625</v>
      </c>
      <c r="E105" s="2">
        <v>24830</v>
      </c>
      <c r="F105">
        <v>475</v>
      </c>
      <c r="G105" t="s">
        <v>10</v>
      </c>
      <c r="H105" t="s">
        <v>15</v>
      </c>
      <c r="I105" s="1">
        <v>44027</v>
      </c>
      <c r="J105" s="1">
        <v>44502</v>
      </c>
      <c r="K105">
        <v>2020</v>
      </c>
    </row>
    <row r="106" spans="1:11" x14ac:dyDescent="0.3">
      <c r="A106">
        <v>105</v>
      </c>
      <c r="B106" t="s">
        <v>19</v>
      </c>
      <c r="C106" t="s">
        <v>16</v>
      </c>
      <c r="D106" s="2">
        <v>125782</v>
      </c>
      <c r="E106" s="2">
        <v>46016</v>
      </c>
      <c r="F106">
        <v>206</v>
      </c>
      <c r="G106" t="s">
        <v>12</v>
      </c>
      <c r="H106" t="s">
        <v>24</v>
      </c>
      <c r="I106" s="1">
        <v>45408</v>
      </c>
      <c r="J106" s="1">
        <v>45614</v>
      </c>
      <c r="K106">
        <v>2024</v>
      </c>
    </row>
    <row r="107" spans="1:11" x14ac:dyDescent="0.3">
      <c r="A107">
        <v>106</v>
      </c>
      <c r="B107" t="s">
        <v>18</v>
      </c>
      <c r="C107" t="s">
        <v>16</v>
      </c>
      <c r="D107" s="2">
        <v>81836</v>
      </c>
      <c r="E107" s="2">
        <v>25625</v>
      </c>
      <c r="F107">
        <v>69</v>
      </c>
      <c r="G107" t="s">
        <v>10</v>
      </c>
      <c r="H107" t="s">
        <v>14</v>
      </c>
      <c r="I107" s="1">
        <v>44715</v>
      </c>
      <c r="J107" s="1">
        <v>44784</v>
      </c>
      <c r="K107">
        <v>2022</v>
      </c>
    </row>
    <row r="108" spans="1:11" x14ac:dyDescent="0.3">
      <c r="A108">
        <v>107</v>
      </c>
      <c r="B108" t="s">
        <v>19</v>
      </c>
      <c r="C108" t="s">
        <v>16</v>
      </c>
      <c r="D108" s="2">
        <v>156534</v>
      </c>
      <c r="E108" s="2">
        <v>34671</v>
      </c>
      <c r="F108">
        <v>641</v>
      </c>
      <c r="G108" t="s">
        <v>12</v>
      </c>
      <c r="H108" t="s">
        <v>13</v>
      </c>
      <c r="I108" s="1">
        <v>43531</v>
      </c>
      <c r="J108" s="1">
        <v>44172</v>
      </c>
      <c r="K108">
        <v>2019</v>
      </c>
    </row>
    <row r="109" spans="1:11" x14ac:dyDescent="0.3">
      <c r="A109">
        <v>108</v>
      </c>
      <c r="B109" t="s">
        <v>19</v>
      </c>
      <c r="C109" t="s">
        <v>16</v>
      </c>
      <c r="D109" s="2">
        <v>180005</v>
      </c>
      <c r="E109" s="2">
        <v>9627</v>
      </c>
      <c r="F109">
        <v>349</v>
      </c>
      <c r="G109" t="s">
        <v>10</v>
      </c>
      <c r="H109" t="s">
        <v>14</v>
      </c>
      <c r="I109" s="1">
        <v>45287</v>
      </c>
      <c r="J109" s="1">
        <v>45636</v>
      </c>
      <c r="K109">
        <v>2023</v>
      </c>
    </row>
    <row r="110" spans="1:11" x14ac:dyDescent="0.3">
      <c r="A110">
        <v>109</v>
      </c>
      <c r="B110" t="s">
        <v>18</v>
      </c>
      <c r="C110" t="s">
        <v>16</v>
      </c>
      <c r="D110" s="2">
        <v>106625</v>
      </c>
      <c r="E110" s="2">
        <v>18039</v>
      </c>
      <c r="F110">
        <v>348</v>
      </c>
      <c r="G110" t="s">
        <v>10</v>
      </c>
      <c r="H110" t="s">
        <v>15</v>
      </c>
      <c r="I110" s="1">
        <v>44444</v>
      </c>
      <c r="J110" s="1">
        <v>44792</v>
      </c>
      <c r="K110">
        <v>2021</v>
      </c>
    </row>
    <row r="111" spans="1:11" x14ac:dyDescent="0.3">
      <c r="A111">
        <v>110</v>
      </c>
      <c r="B111" t="s">
        <v>17</v>
      </c>
      <c r="C111" t="s">
        <v>20</v>
      </c>
      <c r="D111" s="2">
        <v>37608</v>
      </c>
      <c r="E111" s="2">
        <v>0</v>
      </c>
      <c r="F111">
        <v>123</v>
      </c>
      <c r="G111" t="s">
        <v>12</v>
      </c>
      <c r="H111" t="s">
        <v>13</v>
      </c>
      <c r="I111" s="1">
        <v>44620</v>
      </c>
      <c r="J111" s="1"/>
      <c r="K111">
        <v>2022</v>
      </c>
    </row>
    <row r="112" spans="1:11" x14ac:dyDescent="0.3">
      <c r="A112">
        <v>111</v>
      </c>
      <c r="B112" t="s">
        <v>17</v>
      </c>
      <c r="C112" t="s">
        <v>16</v>
      </c>
      <c r="D112" s="2">
        <v>191228</v>
      </c>
      <c r="E112" s="2">
        <v>26490</v>
      </c>
      <c r="F112">
        <v>257</v>
      </c>
      <c r="G112" t="s">
        <v>11</v>
      </c>
      <c r="H112" t="s">
        <v>14</v>
      </c>
      <c r="I112" s="1">
        <v>44374</v>
      </c>
      <c r="J112" s="1">
        <v>44631</v>
      </c>
      <c r="K112">
        <v>2021</v>
      </c>
    </row>
    <row r="113" spans="1:11" x14ac:dyDescent="0.3">
      <c r="A113">
        <v>112</v>
      </c>
      <c r="B113" t="s">
        <v>18</v>
      </c>
      <c r="C113" t="s">
        <v>16</v>
      </c>
      <c r="D113" s="2">
        <v>166344</v>
      </c>
      <c r="E113" s="2">
        <v>25924</v>
      </c>
      <c r="F113">
        <v>782</v>
      </c>
      <c r="G113" t="s">
        <v>11</v>
      </c>
      <c r="H113" t="s">
        <v>13</v>
      </c>
      <c r="I113" s="1">
        <v>44233</v>
      </c>
      <c r="J113" s="1">
        <v>45015</v>
      </c>
      <c r="K113">
        <v>2021</v>
      </c>
    </row>
    <row r="114" spans="1:11" x14ac:dyDescent="0.3">
      <c r="A114">
        <v>113</v>
      </c>
      <c r="B114" t="s">
        <v>19</v>
      </c>
      <c r="C114" t="s">
        <v>16</v>
      </c>
      <c r="D114" s="2">
        <v>152233</v>
      </c>
      <c r="E114" s="2">
        <v>30042</v>
      </c>
      <c r="F114">
        <v>50</v>
      </c>
      <c r="G114" t="s">
        <v>12</v>
      </c>
      <c r="H114" t="s">
        <v>23</v>
      </c>
      <c r="I114" s="1">
        <v>45161</v>
      </c>
      <c r="J114" s="1">
        <v>45211</v>
      </c>
      <c r="K114">
        <v>2023</v>
      </c>
    </row>
    <row r="115" spans="1:11" x14ac:dyDescent="0.3">
      <c r="A115">
        <v>114</v>
      </c>
      <c r="B115" t="s">
        <v>19</v>
      </c>
      <c r="C115" t="s">
        <v>16</v>
      </c>
      <c r="D115" s="2">
        <v>50367</v>
      </c>
      <c r="E115" s="2">
        <v>42226</v>
      </c>
      <c r="F115">
        <v>416</v>
      </c>
      <c r="G115" t="s">
        <v>12</v>
      </c>
      <c r="H115" t="s">
        <v>24</v>
      </c>
      <c r="I115" s="1">
        <v>45585</v>
      </c>
      <c r="J115" s="1">
        <v>46001</v>
      </c>
      <c r="K115">
        <v>2024</v>
      </c>
    </row>
    <row r="116" spans="1:11" x14ac:dyDescent="0.3">
      <c r="A116">
        <v>115</v>
      </c>
      <c r="B116" t="s">
        <v>18</v>
      </c>
      <c r="C116" t="s">
        <v>16</v>
      </c>
      <c r="D116" s="2">
        <v>160327</v>
      </c>
      <c r="E116" s="2">
        <v>47839</v>
      </c>
      <c r="F116">
        <v>461</v>
      </c>
      <c r="G116" t="s">
        <v>11</v>
      </c>
      <c r="H116" t="s">
        <v>13</v>
      </c>
      <c r="I116" s="1">
        <v>45316</v>
      </c>
      <c r="J116" s="1">
        <v>45777</v>
      </c>
      <c r="K116">
        <v>2024</v>
      </c>
    </row>
    <row r="117" spans="1:11" x14ac:dyDescent="0.3">
      <c r="A117">
        <v>116</v>
      </c>
      <c r="B117" t="s">
        <v>19</v>
      </c>
      <c r="C117" t="s">
        <v>16</v>
      </c>
      <c r="D117" s="2">
        <v>142783</v>
      </c>
      <c r="E117" s="2">
        <v>18539</v>
      </c>
      <c r="F117">
        <v>182</v>
      </c>
      <c r="G117" t="s">
        <v>12</v>
      </c>
      <c r="H117" t="s">
        <v>14</v>
      </c>
      <c r="I117" s="1">
        <v>44195</v>
      </c>
      <c r="J117" s="1">
        <v>44377</v>
      </c>
      <c r="K117">
        <v>2020</v>
      </c>
    </row>
    <row r="118" spans="1:11" x14ac:dyDescent="0.3">
      <c r="A118">
        <v>117</v>
      </c>
      <c r="B118" t="s">
        <v>17</v>
      </c>
      <c r="C118" t="s">
        <v>16</v>
      </c>
      <c r="D118" s="2">
        <v>135123</v>
      </c>
      <c r="E118" s="2">
        <v>40510</v>
      </c>
      <c r="F118">
        <v>831</v>
      </c>
      <c r="G118" t="s">
        <v>10</v>
      </c>
      <c r="H118" t="s">
        <v>23</v>
      </c>
      <c r="I118" s="1">
        <v>43355</v>
      </c>
      <c r="J118" s="1">
        <v>44186</v>
      </c>
      <c r="K118">
        <v>2018</v>
      </c>
    </row>
    <row r="119" spans="1:11" x14ac:dyDescent="0.3">
      <c r="A119">
        <v>118</v>
      </c>
      <c r="B119" t="s">
        <v>17</v>
      </c>
      <c r="C119" t="s">
        <v>16</v>
      </c>
      <c r="D119" s="2">
        <v>141926</v>
      </c>
      <c r="E119" s="2">
        <v>33842</v>
      </c>
      <c r="F119">
        <v>479</v>
      </c>
      <c r="G119" t="s">
        <v>12</v>
      </c>
      <c r="H119" t="s">
        <v>14</v>
      </c>
      <c r="I119" s="1">
        <v>43977</v>
      </c>
      <c r="J119" s="1">
        <v>44456</v>
      </c>
      <c r="K119">
        <v>2020</v>
      </c>
    </row>
    <row r="120" spans="1:11" x14ac:dyDescent="0.3">
      <c r="A120">
        <v>119</v>
      </c>
      <c r="B120" t="s">
        <v>18</v>
      </c>
      <c r="C120" t="s">
        <v>16</v>
      </c>
      <c r="D120" s="2">
        <v>186365</v>
      </c>
      <c r="E120" s="2">
        <v>89560</v>
      </c>
      <c r="F120">
        <v>530</v>
      </c>
      <c r="G120" t="s">
        <v>10</v>
      </c>
      <c r="H120" t="s">
        <v>15</v>
      </c>
      <c r="I120" s="1">
        <v>45387</v>
      </c>
      <c r="J120" s="1">
        <v>45917</v>
      </c>
      <c r="K120">
        <v>2024</v>
      </c>
    </row>
    <row r="121" spans="1:11" x14ac:dyDescent="0.3">
      <c r="A121">
        <v>120</v>
      </c>
      <c r="B121" t="s">
        <v>18</v>
      </c>
      <c r="C121" t="s">
        <v>16</v>
      </c>
      <c r="D121" s="2">
        <v>126461</v>
      </c>
      <c r="E121" s="2">
        <v>25448</v>
      </c>
      <c r="F121">
        <v>366</v>
      </c>
      <c r="G121" t="s">
        <v>12</v>
      </c>
      <c r="H121" t="s">
        <v>14</v>
      </c>
      <c r="I121" s="1">
        <v>44051</v>
      </c>
      <c r="J121" s="1">
        <v>44417</v>
      </c>
      <c r="K121">
        <v>2020</v>
      </c>
    </row>
    <row r="122" spans="1:11" x14ac:dyDescent="0.3">
      <c r="A122">
        <v>121</v>
      </c>
      <c r="B122" t="s">
        <v>19</v>
      </c>
      <c r="C122" t="s">
        <v>16</v>
      </c>
      <c r="D122" s="2">
        <v>140435</v>
      </c>
      <c r="E122" s="2">
        <v>37560</v>
      </c>
      <c r="F122">
        <v>273</v>
      </c>
      <c r="G122" t="s">
        <v>12</v>
      </c>
      <c r="H122" t="s">
        <v>15</v>
      </c>
      <c r="I122" s="1">
        <v>43668</v>
      </c>
      <c r="J122" s="1">
        <v>43941</v>
      </c>
      <c r="K122">
        <v>2019</v>
      </c>
    </row>
    <row r="123" spans="1:11" x14ac:dyDescent="0.3">
      <c r="A123">
        <v>122</v>
      </c>
      <c r="B123" t="s">
        <v>19</v>
      </c>
      <c r="C123" t="s">
        <v>16</v>
      </c>
      <c r="D123" s="2">
        <v>122351</v>
      </c>
      <c r="E123" s="2">
        <v>44497</v>
      </c>
      <c r="F123">
        <v>237</v>
      </c>
      <c r="G123" t="s">
        <v>11</v>
      </c>
      <c r="H123" t="s">
        <v>15</v>
      </c>
      <c r="I123" s="1">
        <v>45314</v>
      </c>
      <c r="J123" s="1">
        <v>45551</v>
      </c>
      <c r="K123">
        <v>2024</v>
      </c>
    </row>
    <row r="124" spans="1:11" x14ac:dyDescent="0.3">
      <c r="A124">
        <v>123</v>
      </c>
      <c r="B124" t="s">
        <v>17</v>
      </c>
      <c r="C124" t="s">
        <v>20</v>
      </c>
      <c r="D124" s="2">
        <v>10470</v>
      </c>
      <c r="E124" s="2">
        <v>0</v>
      </c>
      <c r="F124">
        <v>438</v>
      </c>
      <c r="G124" t="s">
        <v>11</v>
      </c>
      <c r="H124" t="s">
        <v>13</v>
      </c>
      <c r="I124" s="1">
        <v>43540</v>
      </c>
      <c r="J124" s="1"/>
      <c r="K124">
        <v>2019</v>
      </c>
    </row>
    <row r="125" spans="1:11" x14ac:dyDescent="0.3">
      <c r="A125">
        <v>124</v>
      </c>
      <c r="B125" t="s">
        <v>17</v>
      </c>
      <c r="C125" t="s">
        <v>16</v>
      </c>
      <c r="D125" s="2">
        <v>122932</v>
      </c>
      <c r="E125" s="2">
        <v>18200</v>
      </c>
      <c r="F125">
        <v>825</v>
      </c>
      <c r="G125" t="s">
        <v>12</v>
      </c>
      <c r="H125" t="s">
        <v>14</v>
      </c>
      <c r="I125" s="1">
        <v>44071</v>
      </c>
      <c r="J125" s="1">
        <v>44896</v>
      </c>
      <c r="K125">
        <v>2020</v>
      </c>
    </row>
    <row r="126" spans="1:11" x14ac:dyDescent="0.3">
      <c r="A126">
        <v>125</v>
      </c>
      <c r="B126" t="s">
        <v>19</v>
      </c>
      <c r="C126" t="s">
        <v>16</v>
      </c>
      <c r="D126" s="2">
        <v>66327</v>
      </c>
      <c r="E126" s="2">
        <v>26100</v>
      </c>
      <c r="F126">
        <v>328</v>
      </c>
      <c r="G126" t="s">
        <v>11</v>
      </c>
      <c r="H126" t="s">
        <v>13</v>
      </c>
      <c r="I126" s="1">
        <v>45437</v>
      </c>
      <c r="J126" s="1">
        <v>45765</v>
      </c>
      <c r="K126">
        <v>2024</v>
      </c>
    </row>
    <row r="127" spans="1:11" x14ac:dyDescent="0.3">
      <c r="A127">
        <v>126</v>
      </c>
      <c r="B127" t="s">
        <v>19</v>
      </c>
      <c r="C127" t="s">
        <v>16</v>
      </c>
      <c r="D127" s="2">
        <v>182445</v>
      </c>
      <c r="E127" s="2">
        <v>45209</v>
      </c>
      <c r="F127">
        <v>485</v>
      </c>
      <c r="G127" t="s">
        <v>11</v>
      </c>
      <c r="H127" t="s">
        <v>23</v>
      </c>
      <c r="I127" s="1">
        <v>44128</v>
      </c>
      <c r="J127" s="1">
        <v>44613</v>
      </c>
      <c r="K127">
        <v>2020</v>
      </c>
    </row>
    <row r="128" spans="1:11" x14ac:dyDescent="0.3">
      <c r="A128">
        <v>127</v>
      </c>
      <c r="B128" t="s">
        <v>18</v>
      </c>
      <c r="C128" t="s">
        <v>16</v>
      </c>
      <c r="D128" s="2">
        <v>75728</v>
      </c>
      <c r="E128" s="2">
        <v>35860</v>
      </c>
      <c r="F128">
        <v>878</v>
      </c>
      <c r="G128" t="s">
        <v>10</v>
      </c>
      <c r="H128" t="s">
        <v>15</v>
      </c>
      <c r="I128" s="1">
        <v>44730</v>
      </c>
      <c r="J128" s="1">
        <v>45608</v>
      </c>
      <c r="K128">
        <v>2022</v>
      </c>
    </row>
    <row r="129" spans="1:11" x14ac:dyDescent="0.3">
      <c r="A129">
        <v>128</v>
      </c>
      <c r="B129" t="s">
        <v>17</v>
      </c>
      <c r="C129" t="s">
        <v>16</v>
      </c>
      <c r="D129" s="2">
        <v>144003</v>
      </c>
      <c r="E129" s="2">
        <v>27008</v>
      </c>
      <c r="F129">
        <v>637</v>
      </c>
      <c r="G129" t="s">
        <v>11</v>
      </c>
      <c r="H129" t="s">
        <v>23</v>
      </c>
      <c r="I129" s="1">
        <v>43222</v>
      </c>
      <c r="J129" s="1">
        <v>43859</v>
      </c>
      <c r="K129">
        <v>2018</v>
      </c>
    </row>
    <row r="130" spans="1:11" x14ac:dyDescent="0.3">
      <c r="A130">
        <v>129</v>
      </c>
      <c r="B130" t="s">
        <v>18</v>
      </c>
      <c r="C130" t="s">
        <v>16</v>
      </c>
      <c r="D130" s="2">
        <v>84459</v>
      </c>
      <c r="E130" s="2">
        <v>25406</v>
      </c>
      <c r="F130">
        <v>793</v>
      </c>
      <c r="G130" t="s">
        <v>10</v>
      </c>
      <c r="H130" t="s">
        <v>23</v>
      </c>
      <c r="I130" s="1">
        <v>45007</v>
      </c>
      <c r="J130" s="1">
        <v>45800</v>
      </c>
      <c r="K130">
        <v>2023</v>
      </c>
    </row>
    <row r="131" spans="1:11" x14ac:dyDescent="0.3">
      <c r="A131">
        <v>130</v>
      </c>
      <c r="B131" t="s">
        <v>18</v>
      </c>
      <c r="C131" t="s">
        <v>16</v>
      </c>
      <c r="D131" s="2">
        <v>162761</v>
      </c>
      <c r="E131" s="2">
        <v>30318</v>
      </c>
      <c r="F131">
        <v>227</v>
      </c>
      <c r="G131" t="s">
        <v>12</v>
      </c>
      <c r="H131" t="s">
        <v>13</v>
      </c>
      <c r="I131" s="1">
        <v>43961</v>
      </c>
      <c r="J131" s="1">
        <v>44188</v>
      </c>
      <c r="K131">
        <v>2020</v>
      </c>
    </row>
    <row r="132" spans="1:11" x14ac:dyDescent="0.3">
      <c r="A132">
        <v>131</v>
      </c>
      <c r="B132" t="s">
        <v>19</v>
      </c>
      <c r="C132" t="s">
        <v>16</v>
      </c>
      <c r="D132" s="2">
        <v>74840</v>
      </c>
      <c r="E132" s="2">
        <v>41360</v>
      </c>
      <c r="F132">
        <v>172</v>
      </c>
      <c r="G132" t="s">
        <v>10</v>
      </c>
      <c r="H132" t="s">
        <v>24</v>
      </c>
      <c r="I132" s="1">
        <v>45368</v>
      </c>
      <c r="J132" s="1">
        <v>45540</v>
      </c>
      <c r="K132">
        <v>2024</v>
      </c>
    </row>
    <row r="133" spans="1:11" x14ac:dyDescent="0.3">
      <c r="A133">
        <v>132</v>
      </c>
      <c r="B133" t="s">
        <v>18</v>
      </c>
      <c r="C133" t="s">
        <v>16</v>
      </c>
      <c r="D133" s="2">
        <v>80019</v>
      </c>
      <c r="E133" s="2">
        <v>13961</v>
      </c>
      <c r="F133">
        <v>136</v>
      </c>
      <c r="G133" t="s">
        <v>10</v>
      </c>
      <c r="H133" t="s">
        <v>14</v>
      </c>
      <c r="I133" s="1">
        <v>44022</v>
      </c>
      <c r="J133" s="1">
        <v>44158</v>
      </c>
      <c r="K133">
        <v>2020</v>
      </c>
    </row>
    <row r="134" spans="1:11" x14ac:dyDescent="0.3">
      <c r="A134">
        <v>133</v>
      </c>
      <c r="B134" t="s">
        <v>17</v>
      </c>
      <c r="C134" t="s">
        <v>16</v>
      </c>
      <c r="D134" s="2">
        <v>117938</v>
      </c>
      <c r="E134" s="2">
        <v>43510</v>
      </c>
      <c r="F134">
        <v>697</v>
      </c>
      <c r="G134" t="s">
        <v>12</v>
      </c>
      <c r="H134" t="s">
        <v>13</v>
      </c>
      <c r="I134" s="1">
        <v>45190</v>
      </c>
      <c r="J134" s="1">
        <v>45887</v>
      </c>
      <c r="K134">
        <v>2023</v>
      </c>
    </row>
    <row r="135" spans="1:11" x14ac:dyDescent="0.3">
      <c r="A135">
        <v>134</v>
      </c>
      <c r="B135" t="s">
        <v>19</v>
      </c>
      <c r="C135" t="s">
        <v>16</v>
      </c>
      <c r="D135" s="2">
        <v>69965</v>
      </c>
      <c r="E135" s="2">
        <v>29368</v>
      </c>
      <c r="F135">
        <v>391</v>
      </c>
      <c r="G135" t="s">
        <v>11</v>
      </c>
      <c r="H135" t="s">
        <v>13</v>
      </c>
      <c r="I135" s="1">
        <v>44215</v>
      </c>
      <c r="J135" s="1">
        <v>44606</v>
      </c>
      <c r="K135">
        <v>2021</v>
      </c>
    </row>
    <row r="136" spans="1:11" x14ac:dyDescent="0.3">
      <c r="A136">
        <v>135</v>
      </c>
      <c r="B136" t="s">
        <v>19</v>
      </c>
      <c r="C136" t="s">
        <v>16</v>
      </c>
      <c r="D136" s="2">
        <v>146034</v>
      </c>
      <c r="E136" s="2">
        <v>65840</v>
      </c>
      <c r="F136">
        <v>172</v>
      </c>
      <c r="G136" t="s">
        <v>11</v>
      </c>
      <c r="H136" t="s">
        <v>24</v>
      </c>
      <c r="I136" s="1">
        <v>44330</v>
      </c>
      <c r="J136" s="1">
        <v>44502</v>
      </c>
      <c r="K136">
        <v>2021</v>
      </c>
    </row>
    <row r="137" spans="1:11" x14ac:dyDescent="0.3">
      <c r="A137">
        <v>136</v>
      </c>
      <c r="B137" t="s">
        <v>17</v>
      </c>
      <c r="C137" t="s">
        <v>16</v>
      </c>
      <c r="D137" s="2">
        <v>143892</v>
      </c>
      <c r="E137" s="2">
        <v>102662</v>
      </c>
      <c r="F137">
        <v>574</v>
      </c>
      <c r="G137" t="s">
        <v>11</v>
      </c>
      <c r="H137" t="s">
        <v>15</v>
      </c>
      <c r="I137" s="1">
        <v>44105</v>
      </c>
      <c r="J137" s="1">
        <v>44679</v>
      </c>
      <c r="K137">
        <v>2020</v>
      </c>
    </row>
    <row r="138" spans="1:11" x14ac:dyDescent="0.3">
      <c r="A138">
        <v>137</v>
      </c>
      <c r="B138" t="s">
        <v>17</v>
      </c>
      <c r="C138" t="s">
        <v>16</v>
      </c>
      <c r="D138" s="2">
        <v>109500</v>
      </c>
      <c r="E138" s="2">
        <v>36002</v>
      </c>
      <c r="F138">
        <v>648</v>
      </c>
      <c r="G138" t="s">
        <v>10</v>
      </c>
      <c r="H138" t="s">
        <v>15</v>
      </c>
      <c r="I138" s="1">
        <v>44086</v>
      </c>
      <c r="J138" s="1">
        <v>44734</v>
      </c>
      <c r="K138">
        <v>2020</v>
      </c>
    </row>
    <row r="139" spans="1:11" x14ac:dyDescent="0.3">
      <c r="A139">
        <v>138</v>
      </c>
      <c r="B139" t="s">
        <v>17</v>
      </c>
      <c r="C139" t="s">
        <v>20</v>
      </c>
      <c r="D139" s="2">
        <v>36740</v>
      </c>
      <c r="E139" s="2">
        <v>0</v>
      </c>
      <c r="F139">
        <v>830</v>
      </c>
      <c r="G139" t="s">
        <v>11</v>
      </c>
      <c r="H139" t="s">
        <v>23</v>
      </c>
      <c r="I139" s="1">
        <v>44143</v>
      </c>
      <c r="J139" s="1"/>
      <c r="K139">
        <v>2020</v>
      </c>
    </row>
    <row r="140" spans="1:11" x14ac:dyDescent="0.3">
      <c r="A140">
        <v>139</v>
      </c>
      <c r="B140" t="s">
        <v>17</v>
      </c>
      <c r="C140" t="s">
        <v>16</v>
      </c>
      <c r="D140" s="2">
        <v>88060</v>
      </c>
      <c r="E140" s="2">
        <v>25194</v>
      </c>
      <c r="F140">
        <v>855</v>
      </c>
      <c r="G140" t="s">
        <v>12</v>
      </c>
      <c r="H140" t="s">
        <v>15</v>
      </c>
      <c r="I140" s="1">
        <v>43950</v>
      </c>
      <c r="J140" s="1">
        <v>44805</v>
      </c>
      <c r="K140">
        <v>2020</v>
      </c>
    </row>
    <row r="141" spans="1:11" x14ac:dyDescent="0.3">
      <c r="A141">
        <v>140</v>
      </c>
      <c r="B141" t="s">
        <v>19</v>
      </c>
      <c r="C141" t="s">
        <v>16</v>
      </c>
      <c r="D141" s="2">
        <v>108554</v>
      </c>
      <c r="E141" s="2">
        <v>65310</v>
      </c>
      <c r="F141">
        <v>366</v>
      </c>
      <c r="G141" t="s">
        <v>10</v>
      </c>
      <c r="H141" t="s">
        <v>24</v>
      </c>
      <c r="I141" s="1">
        <v>44114</v>
      </c>
      <c r="J141" s="1">
        <v>44480</v>
      </c>
      <c r="K141">
        <v>2020</v>
      </c>
    </row>
    <row r="142" spans="1:11" x14ac:dyDescent="0.3">
      <c r="A142">
        <v>141</v>
      </c>
      <c r="B142" t="s">
        <v>18</v>
      </c>
      <c r="C142" t="s">
        <v>16</v>
      </c>
      <c r="D142" s="2">
        <v>82598</v>
      </c>
      <c r="E142" s="2">
        <v>47170</v>
      </c>
      <c r="F142">
        <v>818</v>
      </c>
      <c r="G142" t="s">
        <v>10</v>
      </c>
      <c r="H142" t="s">
        <v>24</v>
      </c>
      <c r="I142" s="1">
        <v>43540</v>
      </c>
      <c r="J142" s="1">
        <v>44358</v>
      </c>
      <c r="K142">
        <v>2019</v>
      </c>
    </row>
    <row r="143" spans="1:11" x14ac:dyDescent="0.3">
      <c r="A143">
        <v>142</v>
      </c>
      <c r="B143" t="s">
        <v>18</v>
      </c>
      <c r="C143" t="s">
        <v>20</v>
      </c>
      <c r="D143" s="2">
        <v>55740</v>
      </c>
      <c r="E143" s="2">
        <v>0</v>
      </c>
      <c r="F143">
        <v>164</v>
      </c>
      <c r="G143" t="s">
        <v>12</v>
      </c>
      <c r="H143" t="s">
        <v>23</v>
      </c>
      <c r="I143" s="1">
        <v>45156</v>
      </c>
      <c r="J143" s="1"/>
      <c r="K143">
        <v>2023</v>
      </c>
    </row>
    <row r="144" spans="1:11" x14ac:dyDescent="0.3">
      <c r="A144">
        <v>143</v>
      </c>
      <c r="B144" t="s">
        <v>17</v>
      </c>
      <c r="C144" t="s">
        <v>16</v>
      </c>
      <c r="D144" s="2">
        <v>170348</v>
      </c>
      <c r="E144" s="2">
        <v>67450</v>
      </c>
      <c r="F144">
        <v>168</v>
      </c>
      <c r="G144" t="s">
        <v>10</v>
      </c>
      <c r="H144" t="s">
        <v>13</v>
      </c>
      <c r="I144" s="1">
        <v>44974</v>
      </c>
      <c r="J144" s="1">
        <v>45142</v>
      </c>
      <c r="K144">
        <v>2023</v>
      </c>
    </row>
    <row r="145" spans="1:11" x14ac:dyDescent="0.3">
      <c r="A145">
        <v>144</v>
      </c>
      <c r="B145" t="s">
        <v>19</v>
      </c>
      <c r="C145" t="s">
        <v>16</v>
      </c>
      <c r="D145" s="2">
        <v>190974</v>
      </c>
      <c r="E145" s="2">
        <v>49406</v>
      </c>
      <c r="F145">
        <v>839</v>
      </c>
      <c r="G145" t="s">
        <v>11</v>
      </c>
      <c r="H145" t="s">
        <v>24</v>
      </c>
      <c r="I145" s="1">
        <v>44926</v>
      </c>
      <c r="J145" s="1">
        <v>45765</v>
      </c>
      <c r="K145">
        <v>2022</v>
      </c>
    </row>
    <row r="146" spans="1:11" x14ac:dyDescent="0.3">
      <c r="A146">
        <v>145</v>
      </c>
      <c r="B146" t="s">
        <v>17</v>
      </c>
      <c r="C146" t="s">
        <v>16</v>
      </c>
      <c r="D146" s="2">
        <v>57182</v>
      </c>
      <c r="E146" s="2">
        <v>28428</v>
      </c>
      <c r="F146">
        <v>822</v>
      </c>
      <c r="G146" t="s">
        <v>12</v>
      </c>
      <c r="H146" t="s">
        <v>14</v>
      </c>
      <c r="I146" s="1">
        <v>44431</v>
      </c>
      <c r="J146" s="1">
        <v>45253</v>
      </c>
      <c r="K146">
        <v>2021</v>
      </c>
    </row>
    <row r="147" spans="1:11" x14ac:dyDescent="0.3">
      <c r="A147">
        <v>146</v>
      </c>
      <c r="B147" t="s">
        <v>17</v>
      </c>
      <c r="C147" t="s">
        <v>20</v>
      </c>
      <c r="D147" s="2">
        <v>42490</v>
      </c>
      <c r="E147" s="2">
        <v>0</v>
      </c>
      <c r="F147">
        <v>144</v>
      </c>
      <c r="G147" t="s">
        <v>12</v>
      </c>
      <c r="H147" t="s">
        <v>23</v>
      </c>
      <c r="I147" s="1">
        <v>44590</v>
      </c>
      <c r="J147" s="1"/>
      <c r="K147">
        <v>2022</v>
      </c>
    </row>
    <row r="148" spans="1:11" x14ac:dyDescent="0.3">
      <c r="A148">
        <v>147</v>
      </c>
      <c r="B148" t="s">
        <v>17</v>
      </c>
      <c r="C148" t="s">
        <v>16</v>
      </c>
      <c r="D148" s="2">
        <v>136099</v>
      </c>
      <c r="E148" s="2">
        <v>29236</v>
      </c>
      <c r="F148">
        <v>344</v>
      </c>
      <c r="G148" t="s">
        <v>10</v>
      </c>
      <c r="H148" t="s">
        <v>23</v>
      </c>
      <c r="I148" s="1">
        <v>44804</v>
      </c>
      <c r="J148" s="1">
        <v>45148</v>
      </c>
      <c r="K148">
        <v>2022</v>
      </c>
    </row>
    <row r="149" spans="1:11" x14ac:dyDescent="0.3">
      <c r="A149">
        <v>148</v>
      </c>
      <c r="B149" t="s">
        <v>19</v>
      </c>
      <c r="C149" t="s">
        <v>16</v>
      </c>
      <c r="D149" s="2">
        <v>103684</v>
      </c>
      <c r="E149" s="2">
        <v>99280</v>
      </c>
      <c r="F149">
        <v>454</v>
      </c>
      <c r="G149" t="s">
        <v>11</v>
      </c>
      <c r="H149" t="s">
        <v>14</v>
      </c>
      <c r="I149" s="1">
        <v>44772</v>
      </c>
      <c r="J149" s="1">
        <v>45226</v>
      </c>
      <c r="K149">
        <v>2022</v>
      </c>
    </row>
    <row r="150" spans="1:11" x14ac:dyDescent="0.3">
      <c r="A150">
        <v>149</v>
      </c>
      <c r="B150" t="s">
        <v>18</v>
      </c>
      <c r="C150" t="s">
        <v>20</v>
      </c>
      <c r="D150" s="2">
        <v>6595</v>
      </c>
      <c r="E150" s="2">
        <v>0</v>
      </c>
      <c r="F150">
        <v>254</v>
      </c>
      <c r="G150" t="s">
        <v>10</v>
      </c>
      <c r="H150" t="s">
        <v>23</v>
      </c>
      <c r="I150" s="1">
        <v>44786</v>
      </c>
      <c r="J150" s="1"/>
      <c r="K150">
        <v>2022</v>
      </c>
    </row>
    <row r="151" spans="1:11" x14ac:dyDescent="0.3">
      <c r="A151">
        <v>150</v>
      </c>
      <c r="B151" t="s">
        <v>19</v>
      </c>
      <c r="C151" t="s">
        <v>21</v>
      </c>
      <c r="D151" s="2">
        <v>32054</v>
      </c>
      <c r="E151" s="2">
        <v>0</v>
      </c>
      <c r="F151">
        <v>624</v>
      </c>
      <c r="G151" t="s">
        <v>12</v>
      </c>
      <c r="H151" t="s">
        <v>24</v>
      </c>
      <c r="I151" s="1">
        <v>44913</v>
      </c>
      <c r="J151" s="1">
        <v>45537</v>
      </c>
      <c r="K151">
        <v>2022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3C60-4B9E-40C6-8448-A12DF74C5926}">
  <dimension ref="A1:B10"/>
  <sheetViews>
    <sheetView workbookViewId="0">
      <selection activeCell="A2" sqref="A2:B9"/>
    </sheetView>
  </sheetViews>
  <sheetFormatPr defaultRowHeight="14.4" x14ac:dyDescent="0.3"/>
  <cols>
    <col min="1" max="1" width="36.109375" bestFit="1" customWidth="1"/>
    <col min="2" max="2" width="16.5546875" bestFit="1" customWidth="1"/>
  </cols>
  <sheetData>
    <row r="1" spans="1:2" ht="15" thickBot="1" x14ac:dyDescent="0.35">
      <c r="A1" s="3" t="s">
        <v>30</v>
      </c>
      <c r="B1" s="3" t="s">
        <v>31</v>
      </c>
    </row>
    <row r="2" spans="1:2" x14ac:dyDescent="0.3">
      <c r="A2" s="4" t="s">
        <v>27</v>
      </c>
      <c r="B2" s="19">
        <f>SUM(tb_processos[Economia_Acordo])</f>
        <v>3420527</v>
      </c>
    </row>
    <row r="3" spans="1:2" x14ac:dyDescent="0.3">
      <c r="A3" s="5" t="s">
        <v>29</v>
      </c>
      <c r="B3" s="17">
        <f>COUNTIF(tb_processos[Status],"Acordo")/COUNTA(tb_processos[Status])</f>
        <v>0.60666666666666669</v>
      </c>
    </row>
    <row r="4" spans="1:2" x14ac:dyDescent="0.3">
      <c r="A4" s="5" t="s">
        <v>40</v>
      </c>
      <c r="B4" s="15" t="str">
        <f>INDEX(Analises!A62:A66,MATCH(MAX(Analises!B62:B66),Analises!B62:B66,0))&amp;" - "&amp;TEXT(MAX(Analises!B62:B66),"R$ #.##0")</f>
        <v>Alan - R$ 919.661</v>
      </c>
    </row>
    <row r="5" spans="1:2" x14ac:dyDescent="0.3">
      <c r="A5" s="5" t="s">
        <v>28</v>
      </c>
      <c r="B5" s="15" t="str">
        <f>ROUND(AVERAGE(tb_processos[Tempo_Dias]),0)&amp;" dias"</f>
        <v>496 dias</v>
      </c>
    </row>
    <row r="6" spans="1:2" x14ac:dyDescent="0.3">
      <c r="A6" s="14" t="s">
        <v>42</v>
      </c>
      <c r="B6" s="16" t="str">
        <f>ROUND(AVERAGEIF(tb_processos[Status],"Encerrado",tb_processos[Tempo_Dias]),0)&amp;" dias"</f>
        <v>533 dias</v>
      </c>
    </row>
    <row r="7" spans="1:2" x14ac:dyDescent="0.3">
      <c r="A7" s="14" t="s">
        <v>41</v>
      </c>
      <c r="B7" s="16" t="str">
        <f>INDEX(Analises!E38:E40,MATCH(MAX(Analises!F38:F40),Analises!F38:F40,0))&amp;" - "&amp;MAX(Analises!F38:F40)&amp;" Acordos"</f>
        <v>Consumidor - 57 Acordos</v>
      </c>
    </row>
    <row r="8" spans="1:2" x14ac:dyDescent="0.3">
      <c r="A8" s="14" t="s">
        <v>25</v>
      </c>
      <c r="B8" s="16">
        <f>COUNTA(tb_processos[ID_Processo])</f>
        <v>150</v>
      </c>
    </row>
    <row r="9" spans="1:2" ht="15" thickBot="1" x14ac:dyDescent="0.35">
      <c r="A9" s="6" t="s">
        <v>26</v>
      </c>
      <c r="B9" s="18">
        <f>SUM(tb_processos[Valor_Causa])</f>
        <v>15095235</v>
      </c>
    </row>
    <row r="10" spans="1:2" x14ac:dyDescent="0.3">
      <c r="A10" s="12"/>
      <c r="B10" s="13"/>
    </row>
  </sheetData>
  <sortState xmlns:xlrd2="http://schemas.microsoft.com/office/spreadsheetml/2017/richdata2" ref="A2:B9">
    <sortCondition ref="A1:A9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7A49-BA2C-4357-9DCA-E1D0F0F122A5}">
  <dimension ref="A1:I68"/>
  <sheetViews>
    <sheetView workbookViewId="0">
      <selection activeCell="W16" sqref="W16"/>
    </sheetView>
  </sheetViews>
  <sheetFormatPr defaultRowHeight="14.4" x14ac:dyDescent="0.3"/>
  <cols>
    <col min="1" max="1" width="17.77734375" bestFit="1" customWidth="1"/>
    <col min="2" max="2" width="23.5546875" style="9" bestFit="1" customWidth="1"/>
    <col min="3" max="4" width="14" bestFit="1" customWidth="1"/>
    <col min="5" max="5" width="17.44140625" bestFit="1" customWidth="1"/>
    <col min="6" max="6" width="14" bestFit="1" customWidth="1"/>
    <col min="7" max="7" width="23.5546875" style="9" bestFit="1" customWidth="1"/>
    <col min="8" max="9" width="10.44140625" style="9" bestFit="1" customWidth="1"/>
  </cols>
  <sheetData>
    <row r="1" spans="1:7" x14ac:dyDescent="0.3">
      <c r="A1" s="7" t="s">
        <v>37</v>
      </c>
      <c r="B1" s="9" t="s">
        <v>34</v>
      </c>
      <c r="F1" s="7" t="s">
        <v>2</v>
      </c>
      <c r="G1" s="9" t="s">
        <v>34</v>
      </c>
    </row>
    <row r="2" spans="1:7" x14ac:dyDescent="0.3">
      <c r="A2" s="8" t="s">
        <v>18</v>
      </c>
      <c r="B2" s="21">
        <v>57</v>
      </c>
      <c r="F2" s="8" t="s">
        <v>16</v>
      </c>
      <c r="G2" s="21">
        <v>91</v>
      </c>
    </row>
    <row r="3" spans="1:7" x14ac:dyDescent="0.3">
      <c r="A3" s="8" t="s">
        <v>19</v>
      </c>
      <c r="B3" s="21">
        <v>49</v>
      </c>
      <c r="F3" s="8" t="s">
        <v>20</v>
      </c>
      <c r="G3" s="21">
        <v>33</v>
      </c>
    </row>
    <row r="4" spans="1:7" x14ac:dyDescent="0.3">
      <c r="A4" s="8" t="s">
        <v>17</v>
      </c>
      <c r="B4" s="21">
        <v>44</v>
      </c>
      <c r="F4" s="8" t="s">
        <v>21</v>
      </c>
      <c r="G4" s="21">
        <v>26</v>
      </c>
    </row>
    <row r="5" spans="1:7" x14ac:dyDescent="0.3">
      <c r="A5" s="8" t="s">
        <v>33</v>
      </c>
      <c r="B5" s="21">
        <v>150</v>
      </c>
      <c r="F5" s="8" t="s">
        <v>33</v>
      </c>
      <c r="G5" s="21">
        <v>150</v>
      </c>
    </row>
    <row r="10" spans="1:7" x14ac:dyDescent="0.3">
      <c r="A10" s="7" t="s">
        <v>6</v>
      </c>
      <c r="B10" s="9" t="s">
        <v>35</v>
      </c>
      <c r="F10" s="7" t="s">
        <v>37</v>
      </c>
      <c r="G10" s="9" t="s">
        <v>36</v>
      </c>
    </row>
    <row r="11" spans="1:7" x14ac:dyDescent="0.3">
      <c r="A11" s="8" t="s">
        <v>12</v>
      </c>
      <c r="B11" s="10">
        <v>1316570</v>
      </c>
      <c r="F11" s="8" t="s">
        <v>19</v>
      </c>
      <c r="G11" s="11">
        <v>460.32653061224488</v>
      </c>
    </row>
    <row r="12" spans="1:7" x14ac:dyDescent="0.3">
      <c r="A12" s="8" t="s">
        <v>10</v>
      </c>
      <c r="B12" s="10">
        <v>1111674</v>
      </c>
      <c r="F12" s="8" t="s">
        <v>18</v>
      </c>
      <c r="G12" s="11">
        <v>494.24561403508773</v>
      </c>
    </row>
    <row r="13" spans="1:7" x14ac:dyDescent="0.3">
      <c r="A13" s="8" t="s">
        <v>11</v>
      </c>
      <c r="B13" s="10">
        <v>992283</v>
      </c>
      <c r="F13" s="8" t="s">
        <v>17</v>
      </c>
      <c r="G13" s="11">
        <v>538.86363636363637</v>
      </c>
    </row>
    <row r="14" spans="1:7" x14ac:dyDescent="0.3">
      <c r="A14" s="8" t="s">
        <v>33</v>
      </c>
      <c r="B14" s="10">
        <v>3420527</v>
      </c>
      <c r="F14" s="8" t="s">
        <v>33</v>
      </c>
      <c r="G14" s="11">
        <v>496.25333333333333</v>
      </c>
    </row>
    <row r="19" spans="1:9" x14ac:dyDescent="0.3">
      <c r="A19" s="7" t="s">
        <v>38</v>
      </c>
      <c r="B19" s="9" t="s">
        <v>34</v>
      </c>
      <c r="E19" s="7" t="s">
        <v>34</v>
      </c>
      <c r="F19" s="7" t="s">
        <v>37</v>
      </c>
    </row>
    <row r="20" spans="1:9" x14ac:dyDescent="0.3">
      <c r="A20" s="8">
        <v>2017</v>
      </c>
      <c r="B20" s="21">
        <v>1</v>
      </c>
      <c r="E20" s="7" t="s">
        <v>38</v>
      </c>
      <c r="F20" t="s">
        <v>19</v>
      </c>
      <c r="G20" s="9" t="s">
        <v>18</v>
      </c>
      <c r="H20" t="s">
        <v>17</v>
      </c>
      <c r="I20" t="s">
        <v>33</v>
      </c>
    </row>
    <row r="21" spans="1:9" x14ac:dyDescent="0.3">
      <c r="A21" s="8">
        <v>2018</v>
      </c>
      <c r="B21" s="21">
        <v>11</v>
      </c>
      <c r="E21" s="8">
        <v>2017</v>
      </c>
      <c r="F21" s="21">
        <v>0</v>
      </c>
      <c r="G21" s="21">
        <v>0</v>
      </c>
      <c r="H21" s="20">
        <v>1</v>
      </c>
      <c r="I21" s="20">
        <v>1</v>
      </c>
    </row>
    <row r="22" spans="1:9" x14ac:dyDescent="0.3">
      <c r="A22" s="8">
        <v>2019</v>
      </c>
      <c r="B22" s="21">
        <v>18</v>
      </c>
      <c r="E22" s="8">
        <v>2018</v>
      </c>
      <c r="F22" s="21">
        <v>2</v>
      </c>
      <c r="G22" s="21">
        <v>4</v>
      </c>
      <c r="H22" s="20">
        <v>5</v>
      </c>
      <c r="I22" s="20">
        <v>11</v>
      </c>
    </row>
    <row r="23" spans="1:9" x14ac:dyDescent="0.3">
      <c r="A23" s="8">
        <v>2020</v>
      </c>
      <c r="B23" s="21">
        <v>25</v>
      </c>
      <c r="E23" s="8">
        <v>2019</v>
      </c>
      <c r="F23" s="21">
        <v>4</v>
      </c>
      <c r="G23" s="21">
        <v>10</v>
      </c>
      <c r="H23" s="20">
        <v>4</v>
      </c>
      <c r="I23" s="20">
        <v>18</v>
      </c>
    </row>
    <row r="24" spans="1:9" x14ac:dyDescent="0.3">
      <c r="A24" s="8">
        <v>2021</v>
      </c>
      <c r="B24" s="21">
        <v>21</v>
      </c>
      <c r="E24" s="8">
        <v>2020</v>
      </c>
      <c r="F24" s="21">
        <v>5</v>
      </c>
      <c r="G24" s="21">
        <v>9</v>
      </c>
      <c r="H24" s="20">
        <v>11</v>
      </c>
      <c r="I24" s="20">
        <v>25</v>
      </c>
    </row>
    <row r="25" spans="1:9" x14ac:dyDescent="0.3">
      <c r="A25" s="8">
        <v>2022</v>
      </c>
      <c r="B25" s="21">
        <v>38</v>
      </c>
      <c r="E25" s="8">
        <v>2021</v>
      </c>
      <c r="F25" s="21">
        <v>11</v>
      </c>
      <c r="G25" s="21">
        <v>6</v>
      </c>
      <c r="H25" s="20">
        <v>4</v>
      </c>
      <c r="I25" s="20">
        <v>21</v>
      </c>
    </row>
    <row r="26" spans="1:9" x14ac:dyDescent="0.3">
      <c r="A26" s="8">
        <v>2023</v>
      </c>
      <c r="B26" s="21">
        <v>23</v>
      </c>
      <c r="E26" s="8">
        <v>2022</v>
      </c>
      <c r="F26" s="21">
        <v>14</v>
      </c>
      <c r="G26" s="21">
        <v>14</v>
      </c>
      <c r="H26" s="20">
        <v>10</v>
      </c>
      <c r="I26" s="20">
        <v>38</v>
      </c>
    </row>
    <row r="27" spans="1:9" x14ac:dyDescent="0.3">
      <c r="A27" s="8">
        <v>2024</v>
      </c>
      <c r="B27" s="21">
        <v>10</v>
      </c>
      <c r="E27" s="8">
        <v>2023</v>
      </c>
      <c r="F27" s="21">
        <v>5</v>
      </c>
      <c r="G27" s="21">
        <v>10</v>
      </c>
      <c r="H27" s="20">
        <v>8</v>
      </c>
      <c r="I27" s="20">
        <v>23</v>
      </c>
    </row>
    <row r="28" spans="1:9" x14ac:dyDescent="0.3">
      <c r="A28" s="8">
        <v>2025</v>
      </c>
      <c r="B28" s="21">
        <v>3</v>
      </c>
      <c r="E28" s="8">
        <v>2024</v>
      </c>
      <c r="F28" s="21">
        <v>6</v>
      </c>
      <c r="G28" s="21">
        <v>4</v>
      </c>
      <c r="H28" s="20">
        <v>0</v>
      </c>
      <c r="I28" s="20">
        <v>10</v>
      </c>
    </row>
    <row r="29" spans="1:9" x14ac:dyDescent="0.3">
      <c r="A29" s="8" t="s">
        <v>33</v>
      </c>
      <c r="B29" s="21">
        <v>150</v>
      </c>
      <c r="E29" s="8">
        <v>2025</v>
      </c>
      <c r="F29" s="21">
        <v>2</v>
      </c>
      <c r="G29" s="21">
        <v>0</v>
      </c>
      <c r="H29" s="20">
        <v>1</v>
      </c>
      <c r="I29" s="20">
        <v>3</v>
      </c>
    </row>
    <row r="30" spans="1:9" x14ac:dyDescent="0.3">
      <c r="E30" s="8" t="s">
        <v>33</v>
      </c>
      <c r="F30" s="21">
        <v>49</v>
      </c>
      <c r="G30" s="21">
        <v>57</v>
      </c>
      <c r="H30" s="20">
        <v>44</v>
      </c>
      <c r="I30" s="20">
        <v>150</v>
      </c>
    </row>
    <row r="31" spans="1:9" x14ac:dyDescent="0.3">
      <c r="E31" s="8"/>
    </row>
    <row r="32" spans="1:9" x14ac:dyDescent="0.3">
      <c r="E32" s="8"/>
    </row>
    <row r="33" spans="1:6" x14ac:dyDescent="0.3">
      <c r="E33" s="8"/>
    </row>
    <row r="35" spans="1:6" x14ac:dyDescent="0.3">
      <c r="A35" s="7" t="s">
        <v>2</v>
      </c>
      <c r="B35" t="s">
        <v>48</v>
      </c>
      <c r="E35" s="7" t="s">
        <v>2</v>
      </c>
      <c r="F35" t="s">
        <v>48</v>
      </c>
    </row>
    <row r="37" spans="1:6" x14ac:dyDescent="0.3">
      <c r="A37" s="7" t="s">
        <v>38</v>
      </c>
      <c r="B37" s="9" t="s">
        <v>34</v>
      </c>
      <c r="E37" s="7" t="s">
        <v>32</v>
      </c>
      <c r="F37" t="s">
        <v>34</v>
      </c>
    </row>
    <row r="38" spans="1:6" x14ac:dyDescent="0.3">
      <c r="A38" s="8">
        <v>2017</v>
      </c>
      <c r="B38" s="21">
        <v>1</v>
      </c>
      <c r="E38" s="8" t="s">
        <v>19</v>
      </c>
      <c r="F38" s="21">
        <v>49</v>
      </c>
    </row>
    <row r="39" spans="1:6" x14ac:dyDescent="0.3">
      <c r="A39" s="8">
        <v>2018</v>
      </c>
      <c r="B39" s="21">
        <v>11</v>
      </c>
      <c r="E39" s="8" t="s">
        <v>18</v>
      </c>
      <c r="F39" s="21">
        <v>57</v>
      </c>
    </row>
    <row r="40" spans="1:6" x14ac:dyDescent="0.3">
      <c r="A40" s="8">
        <v>2019</v>
      </c>
      <c r="B40" s="21">
        <v>18</v>
      </c>
      <c r="E40" s="8" t="s">
        <v>17</v>
      </c>
      <c r="F40" s="21">
        <v>44</v>
      </c>
    </row>
    <row r="41" spans="1:6" x14ac:dyDescent="0.3">
      <c r="A41" s="8">
        <v>2020</v>
      </c>
      <c r="B41" s="21">
        <v>25</v>
      </c>
      <c r="E41" s="8" t="s">
        <v>33</v>
      </c>
      <c r="F41" s="21">
        <v>150</v>
      </c>
    </row>
    <row r="42" spans="1:6" x14ac:dyDescent="0.3">
      <c r="A42" s="8">
        <v>2021</v>
      </c>
      <c r="B42" s="21">
        <v>21</v>
      </c>
    </row>
    <row r="43" spans="1:6" x14ac:dyDescent="0.3">
      <c r="A43" s="8">
        <v>2022</v>
      </c>
      <c r="B43" s="21">
        <v>38</v>
      </c>
    </row>
    <row r="44" spans="1:6" x14ac:dyDescent="0.3">
      <c r="A44" s="8">
        <v>2023</v>
      </c>
      <c r="B44" s="21">
        <v>23</v>
      </c>
    </row>
    <row r="45" spans="1:6" x14ac:dyDescent="0.3">
      <c r="A45" s="8">
        <v>2024</v>
      </c>
      <c r="B45" s="21">
        <v>10</v>
      </c>
    </row>
    <row r="46" spans="1:6" x14ac:dyDescent="0.3">
      <c r="A46" s="8">
        <v>2025</v>
      </c>
      <c r="B46" s="21">
        <v>3</v>
      </c>
    </row>
    <row r="47" spans="1:6" x14ac:dyDescent="0.3">
      <c r="A47" s="8" t="s">
        <v>33</v>
      </c>
      <c r="B47" s="21">
        <v>150</v>
      </c>
    </row>
    <row r="49" spans="1:9" x14ac:dyDescent="0.3">
      <c r="A49" s="7" t="s">
        <v>2</v>
      </c>
      <c r="B49" s="9" t="s">
        <v>21</v>
      </c>
    </row>
    <row r="51" spans="1:9" x14ac:dyDescent="0.3">
      <c r="A51" s="7" t="s">
        <v>32</v>
      </c>
      <c r="B51" s="9" t="s">
        <v>34</v>
      </c>
      <c r="E51" s="7" t="s">
        <v>32</v>
      </c>
      <c r="F51" s="9" t="s">
        <v>34</v>
      </c>
    </row>
    <row r="52" spans="1:9" x14ac:dyDescent="0.3">
      <c r="A52" s="8" t="s">
        <v>12</v>
      </c>
      <c r="B52" s="9">
        <v>11</v>
      </c>
      <c r="E52" s="8" t="s">
        <v>13</v>
      </c>
      <c r="F52" s="21">
        <v>25</v>
      </c>
    </row>
    <row r="53" spans="1:9" x14ac:dyDescent="0.3">
      <c r="A53" s="8" t="s">
        <v>10</v>
      </c>
      <c r="B53" s="9">
        <v>9</v>
      </c>
      <c r="E53" s="8" t="s">
        <v>14</v>
      </c>
      <c r="F53" s="21">
        <v>31</v>
      </c>
    </row>
    <row r="54" spans="1:9" x14ac:dyDescent="0.3">
      <c r="A54" s="8" t="s">
        <v>11</v>
      </c>
      <c r="B54" s="9">
        <v>6</v>
      </c>
      <c r="E54" s="8" t="s">
        <v>15</v>
      </c>
      <c r="F54" s="21">
        <v>27</v>
      </c>
    </row>
    <row r="55" spans="1:9" x14ac:dyDescent="0.3">
      <c r="A55" s="8" t="s">
        <v>33</v>
      </c>
      <c r="B55" s="9">
        <v>26</v>
      </c>
      <c r="E55" s="8" t="s">
        <v>23</v>
      </c>
      <c r="F55" s="21">
        <v>38</v>
      </c>
    </row>
    <row r="56" spans="1:9" x14ac:dyDescent="0.3">
      <c r="E56" s="8" t="s">
        <v>24</v>
      </c>
      <c r="F56" s="21">
        <v>29</v>
      </c>
    </row>
    <row r="57" spans="1:9" x14ac:dyDescent="0.3">
      <c r="E57" s="8" t="s">
        <v>33</v>
      </c>
      <c r="F57" s="21">
        <v>150</v>
      </c>
    </row>
    <row r="59" spans="1:9" x14ac:dyDescent="0.3">
      <c r="A59" s="7" t="s">
        <v>2</v>
      </c>
      <c r="B59" t="s">
        <v>48</v>
      </c>
      <c r="E59" s="7" t="s">
        <v>2</v>
      </c>
      <c r="F59" t="s">
        <v>16</v>
      </c>
    </row>
    <row r="61" spans="1:9" x14ac:dyDescent="0.3">
      <c r="A61" s="7" t="s">
        <v>32</v>
      </c>
      <c r="B61" s="9" t="s">
        <v>35</v>
      </c>
      <c r="E61" s="7" t="s">
        <v>34</v>
      </c>
      <c r="F61" s="7" t="s">
        <v>39</v>
      </c>
    </row>
    <row r="62" spans="1:9" x14ac:dyDescent="0.3">
      <c r="A62" s="8" t="s">
        <v>14</v>
      </c>
      <c r="B62" s="10">
        <v>559165</v>
      </c>
      <c r="C62" s="2"/>
      <c r="D62" s="2"/>
      <c r="E62" s="7" t="s">
        <v>32</v>
      </c>
      <c r="F62" t="s">
        <v>19</v>
      </c>
      <c r="G62" s="9" t="s">
        <v>18</v>
      </c>
      <c r="H62" s="9" t="s">
        <v>17</v>
      </c>
      <c r="I62" s="9" t="s">
        <v>33</v>
      </c>
    </row>
    <row r="63" spans="1:9" x14ac:dyDescent="0.3">
      <c r="A63" s="8" t="s">
        <v>24</v>
      </c>
      <c r="B63" s="10">
        <v>625046</v>
      </c>
      <c r="C63" s="2"/>
      <c r="E63" s="8" t="s">
        <v>13</v>
      </c>
      <c r="F63" s="9">
        <v>7</v>
      </c>
      <c r="G63" s="9">
        <v>6</v>
      </c>
      <c r="H63" s="9">
        <v>5</v>
      </c>
      <c r="I63" s="9">
        <v>18</v>
      </c>
    </row>
    <row r="64" spans="1:9" x14ac:dyDescent="0.3">
      <c r="A64" s="8" t="s">
        <v>23</v>
      </c>
      <c r="B64" s="10">
        <v>638913</v>
      </c>
      <c r="C64" s="2"/>
      <c r="E64" s="8" t="s">
        <v>14</v>
      </c>
      <c r="F64" s="9">
        <v>5</v>
      </c>
      <c r="G64" s="9">
        <v>9</v>
      </c>
      <c r="H64" s="9">
        <v>5</v>
      </c>
      <c r="I64" s="9">
        <v>19</v>
      </c>
    </row>
    <row r="65" spans="1:9" x14ac:dyDescent="0.3">
      <c r="A65" s="8" t="s">
        <v>15</v>
      </c>
      <c r="B65" s="10">
        <v>677742</v>
      </c>
      <c r="C65" s="2"/>
      <c r="E65" s="8" t="s">
        <v>15</v>
      </c>
      <c r="F65" s="9">
        <v>6</v>
      </c>
      <c r="G65" s="9">
        <v>8</v>
      </c>
      <c r="H65" s="9">
        <v>4</v>
      </c>
      <c r="I65" s="9">
        <v>18</v>
      </c>
    </row>
    <row r="66" spans="1:9" x14ac:dyDescent="0.3">
      <c r="A66" s="8" t="s">
        <v>13</v>
      </c>
      <c r="B66" s="10">
        <v>919661</v>
      </c>
      <c r="C66" s="2"/>
      <c r="E66" s="8" t="s">
        <v>23</v>
      </c>
      <c r="F66" s="9">
        <v>9</v>
      </c>
      <c r="G66" s="9">
        <v>3</v>
      </c>
      <c r="H66" s="9">
        <v>7</v>
      </c>
      <c r="I66" s="9">
        <v>19</v>
      </c>
    </row>
    <row r="67" spans="1:9" x14ac:dyDescent="0.3">
      <c r="A67" s="8" t="s">
        <v>33</v>
      </c>
      <c r="B67" s="10">
        <v>3420527</v>
      </c>
      <c r="E67" s="8" t="s">
        <v>24</v>
      </c>
      <c r="F67" s="9">
        <v>8</v>
      </c>
      <c r="G67" s="9">
        <v>5</v>
      </c>
      <c r="H67" s="9">
        <v>4</v>
      </c>
      <c r="I67" s="9">
        <v>17</v>
      </c>
    </row>
    <row r="68" spans="1:9" x14ac:dyDescent="0.3">
      <c r="E68" s="8" t="s">
        <v>33</v>
      </c>
      <c r="F68" s="9">
        <v>35</v>
      </c>
      <c r="G68" s="9">
        <v>31</v>
      </c>
      <c r="H68" s="9">
        <v>25</v>
      </c>
      <c r="I68" s="9">
        <v>91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007A-7251-41CE-943D-3318D467F0F8}">
  <dimension ref="A1:S55"/>
  <sheetViews>
    <sheetView showGridLines="0" tabSelected="1" zoomScale="70" zoomScaleNormal="70" workbookViewId="0">
      <selection activeCell="AH59" sqref="AH59"/>
    </sheetView>
  </sheetViews>
  <sheetFormatPr defaultRowHeight="14.4" x14ac:dyDescent="0.3"/>
  <cols>
    <col min="1" max="14" width="14.33203125" style="22" customWidth="1"/>
    <col min="15" max="16384" width="8.88671875" style="22"/>
  </cols>
  <sheetData>
    <row r="1" spans="1:19" ht="31.2" x14ac:dyDescent="0.3">
      <c r="A1" s="23" t="s">
        <v>43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</row>
    <row r="2" spans="1:19" x14ac:dyDescent="0.3">
      <c r="A2" s="40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72"/>
    </row>
    <row r="3" spans="1:19" ht="15" thickBot="1" x14ac:dyDescent="0.35">
      <c r="A3" s="7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5"/>
    </row>
    <row r="4" spans="1:19" ht="14.4" customHeight="1" x14ac:dyDescent="0.3">
      <c r="A4" s="57">
        <f>KPIs!B8</f>
        <v>150</v>
      </c>
      <c r="B4" s="58"/>
      <c r="C4" s="59"/>
      <c r="D4" s="60">
        <f>KPIs!B9</f>
        <v>15095235</v>
      </c>
      <c r="E4" s="61"/>
      <c r="F4" s="62"/>
      <c r="G4" s="60">
        <f>KPIs!B2</f>
        <v>3420527</v>
      </c>
      <c r="H4" s="61"/>
      <c r="I4" s="62"/>
      <c r="J4" s="63">
        <f>KPIs!B3</f>
        <v>0.60666666666666669</v>
      </c>
      <c r="K4" s="64"/>
      <c r="L4" s="65"/>
      <c r="M4" s="57" t="str">
        <f>KPIs!B5</f>
        <v>496 dias</v>
      </c>
      <c r="N4" s="58"/>
      <c r="O4" s="59"/>
      <c r="P4" s="66" t="str">
        <f>KPIs!B4</f>
        <v>Alan - R$ 919.661</v>
      </c>
      <c r="Q4" s="67"/>
      <c r="R4" s="67"/>
      <c r="S4" s="68"/>
    </row>
    <row r="5" spans="1:19" ht="14.4" customHeight="1" thickBot="1" x14ac:dyDescent="0.35">
      <c r="A5" s="69"/>
      <c r="B5" s="70"/>
      <c r="C5" s="71"/>
      <c r="D5" s="76"/>
      <c r="E5" s="77"/>
      <c r="F5" s="78"/>
      <c r="G5" s="76"/>
      <c r="H5" s="77"/>
      <c r="I5" s="78"/>
      <c r="J5" s="79"/>
      <c r="K5" s="80"/>
      <c r="L5" s="81"/>
      <c r="M5" s="82"/>
      <c r="N5" s="83"/>
      <c r="O5" s="84"/>
      <c r="P5" s="85"/>
      <c r="Q5" s="86"/>
      <c r="R5" s="86"/>
      <c r="S5" s="87"/>
    </row>
    <row r="6" spans="1:19" ht="36" customHeight="1" thickBot="1" x14ac:dyDescent="0.35">
      <c r="A6" s="51" t="s">
        <v>25</v>
      </c>
      <c r="B6" s="52"/>
      <c r="C6" s="53"/>
      <c r="D6" s="54" t="s">
        <v>44</v>
      </c>
      <c r="E6" s="55"/>
      <c r="F6" s="56"/>
      <c r="G6" s="54" t="s">
        <v>27</v>
      </c>
      <c r="H6" s="55"/>
      <c r="I6" s="56"/>
      <c r="J6" s="54" t="s">
        <v>46</v>
      </c>
      <c r="K6" s="55"/>
      <c r="L6" s="56"/>
      <c r="M6" s="54" t="s">
        <v>45</v>
      </c>
      <c r="N6" s="55"/>
      <c r="O6" s="56"/>
      <c r="P6" s="54" t="s">
        <v>40</v>
      </c>
      <c r="Q6" s="55"/>
      <c r="R6" s="55"/>
      <c r="S6" s="56"/>
    </row>
    <row r="7" spans="1:19" x14ac:dyDescent="0.3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8"/>
    </row>
    <row r="8" spans="1:19" ht="14.4" customHeight="1" x14ac:dyDescent="0.3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9"/>
      <c r="Q8" s="29"/>
      <c r="R8" s="29"/>
      <c r="S8" s="30"/>
    </row>
    <row r="9" spans="1:19" ht="14.4" customHeight="1" x14ac:dyDescent="0.3">
      <c r="A9" s="26"/>
      <c r="B9" s="27"/>
      <c r="C9" s="31" t="str">
        <f>KPIs!B7</f>
        <v>Consumidor - 57 Acordos</v>
      </c>
      <c r="D9" s="32"/>
      <c r="E9" s="32"/>
      <c r="F9" s="33"/>
      <c r="G9" s="27"/>
      <c r="H9" s="31" t="str">
        <f>KPIs!B6</f>
        <v>533 dias</v>
      </c>
      <c r="I9" s="32"/>
      <c r="J9" s="32"/>
      <c r="K9" s="33"/>
      <c r="L9" s="27"/>
      <c r="M9" s="27"/>
      <c r="N9" s="27"/>
      <c r="O9" s="27"/>
      <c r="P9" s="88" t="s">
        <v>49</v>
      </c>
      <c r="Q9" s="88"/>
      <c r="R9" s="88"/>
      <c r="S9" s="89"/>
    </row>
    <row r="10" spans="1:19" ht="14.4" customHeight="1" x14ac:dyDescent="0.3">
      <c r="A10" s="26"/>
      <c r="B10" s="27"/>
      <c r="C10" s="34"/>
      <c r="D10" s="35"/>
      <c r="E10" s="35"/>
      <c r="F10" s="36"/>
      <c r="G10" s="27"/>
      <c r="H10" s="34"/>
      <c r="I10" s="35"/>
      <c r="J10" s="35"/>
      <c r="K10" s="36"/>
      <c r="L10" s="27"/>
      <c r="M10" s="27"/>
      <c r="N10" s="27"/>
      <c r="O10" s="27"/>
      <c r="P10" s="88"/>
      <c r="Q10" s="88"/>
      <c r="R10" s="88"/>
      <c r="S10" s="89"/>
    </row>
    <row r="11" spans="1:19" x14ac:dyDescent="0.3">
      <c r="A11" s="26"/>
      <c r="B11" s="37"/>
      <c r="C11" s="38" t="s">
        <v>47</v>
      </c>
      <c r="D11" s="38"/>
      <c r="E11" s="38"/>
      <c r="F11" s="38"/>
      <c r="G11" s="27"/>
      <c r="H11" s="38" t="s">
        <v>42</v>
      </c>
      <c r="I11" s="38"/>
      <c r="J11" s="38"/>
      <c r="K11" s="38"/>
      <c r="L11" s="27"/>
      <c r="M11" s="27"/>
      <c r="N11" s="27"/>
      <c r="O11" s="27"/>
      <c r="P11" s="27"/>
      <c r="Q11" s="27"/>
      <c r="R11" s="27"/>
      <c r="S11" s="28"/>
    </row>
    <row r="12" spans="1:19" x14ac:dyDescent="0.3">
      <c r="A12" s="26"/>
      <c r="B12" s="27"/>
      <c r="C12" s="27"/>
      <c r="D12" s="27"/>
      <c r="E12" s="27"/>
      <c r="F12" s="27"/>
      <c r="G12" s="27"/>
      <c r="H12" s="39"/>
      <c r="I12" s="39"/>
      <c r="J12" s="39"/>
      <c r="K12" s="39"/>
      <c r="L12" s="39"/>
      <c r="M12" s="39"/>
      <c r="N12" s="39"/>
      <c r="O12" s="27"/>
      <c r="P12" s="27"/>
      <c r="Q12" s="27"/>
      <c r="R12" s="27"/>
      <c r="S12" s="28"/>
    </row>
    <row r="13" spans="1:19" x14ac:dyDescent="0.3">
      <c r="A13" s="40"/>
      <c r="B13" s="39"/>
      <c r="C13" s="39"/>
      <c r="D13" s="39"/>
      <c r="E13" s="39"/>
      <c r="F13" s="39"/>
      <c r="G13" s="27"/>
      <c r="H13" s="39"/>
      <c r="I13" s="39"/>
      <c r="J13" s="39"/>
      <c r="K13" s="39"/>
      <c r="L13" s="39"/>
      <c r="M13" s="39"/>
      <c r="N13" s="39"/>
      <c r="O13" s="27"/>
      <c r="P13" s="37"/>
      <c r="Q13" s="37"/>
      <c r="R13" s="37"/>
      <c r="S13" s="41"/>
    </row>
    <row r="14" spans="1:19" x14ac:dyDescent="0.3">
      <c r="A14" s="40"/>
      <c r="B14" s="39"/>
      <c r="C14" s="39"/>
      <c r="D14" s="39"/>
      <c r="E14" s="39"/>
      <c r="F14" s="39"/>
      <c r="G14" s="27"/>
      <c r="H14" s="39"/>
      <c r="I14" s="39"/>
      <c r="J14" s="39"/>
      <c r="K14" s="39"/>
      <c r="L14" s="39"/>
      <c r="M14" s="39"/>
      <c r="N14" s="39"/>
      <c r="O14" s="27"/>
      <c r="P14" s="37"/>
      <c r="Q14" s="37"/>
      <c r="R14" s="37"/>
      <c r="S14" s="41"/>
    </row>
    <row r="15" spans="1:19" x14ac:dyDescent="0.3">
      <c r="A15" s="40"/>
      <c r="B15" s="39"/>
      <c r="C15" s="39"/>
      <c r="D15" s="39"/>
      <c r="E15" s="39"/>
      <c r="F15" s="39"/>
      <c r="G15" s="27"/>
      <c r="H15" s="39"/>
      <c r="I15" s="39"/>
      <c r="J15" s="39"/>
      <c r="K15" s="39"/>
      <c r="L15" s="39"/>
      <c r="M15" s="39"/>
      <c r="N15" s="39"/>
      <c r="O15" s="27"/>
      <c r="P15" s="37"/>
      <c r="Q15" s="37"/>
      <c r="R15" s="37"/>
      <c r="S15" s="41"/>
    </row>
    <row r="16" spans="1:19" x14ac:dyDescent="0.3">
      <c r="A16" s="40"/>
      <c r="B16" s="39"/>
      <c r="C16" s="39"/>
      <c r="D16" s="39"/>
      <c r="E16" s="39"/>
      <c r="F16" s="39"/>
      <c r="G16" s="27"/>
      <c r="H16" s="39"/>
      <c r="I16" s="39"/>
      <c r="J16" s="39"/>
      <c r="K16" s="39"/>
      <c r="L16" s="39"/>
      <c r="M16" s="39"/>
      <c r="N16" s="39"/>
      <c r="O16" s="27"/>
      <c r="P16" s="37"/>
      <c r="Q16" s="37"/>
      <c r="R16" s="37"/>
      <c r="S16" s="41"/>
    </row>
    <row r="17" spans="1:19" x14ac:dyDescent="0.3">
      <c r="A17" s="40"/>
      <c r="B17" s="39"/>
      <c r="C17" s="39"/>
      <c r="D17" s="39"/>
      <c r="E17" s="39"/>
      <c r="F17" s="39"/>
      <c r="G17" s="27"/>
      <c r="H17" s="39"/>
      <c r="I17" s="39"/>
      <c r="J17" s="39"/>
      <c r="K17" s="39"/>
      <c r="L17" s="39"/>
      <c r="M17" s="39"/>
      <c r="N17" s="39"/>
      <c r="O17" s="27"/>
      <c r="P17" s="27"/>
      <c r="Q17" s="27"/>
      <c r="R17" s="27"/>
      <c r="S17" s="28"/>
    </row>
    <row r="18" spans="1:19" x14ac:dyDescent="0.3">
      <c r="A18" s="40"/>
      <c r="B18" s="39"/>
      <c r="C18" s="39"/>
      <c r="D18" s="39"/>
      <c r="E18" s="39"/>
      <c r="F18" s="39"/>
      <c r="G18" s="27"/>
      <c r="H18" s="39"/>
      <c r="I18" s="39"/>
      <c r="J18" s="39"/>
      <c r="K18" s="39"/>
      <c r="L18" s="39"/>
      <c r="M18" s="39"/>
      <c r="N18" s="39"/>
      <c r="O18" s="27"/>
      <c r="P18" s="27"/>
      <c r="Q18" s="27"/>
      <c r="R18" s="27"/>
      <c r="S18" s="28"/>
    </row>
    <row r="19" spans="1:19" x14ac:dyDescent="0.3">
      <c r="A19" s="40"/>
      <c r="B19" s="39"/>
      <c r="C19" s="39"/>
      <c r="D19" s="39"/>
      <c r="E19" s="39"/>
      <c r="F19" s="39"/>
      <c r="G19" s="27"/>
      <c r="H19" s="39"/>
      <c r="I19" s="39"/>
      <c r="J19" s="39"/>
      <c r="K19" s="39"/>
      <c r="L19" s="39"/>
      <c r="M19" s="39"/>
      <c r="N19" s="39"/>
      <c r="O19" s="27"/>
      <c r="P19" s="27"/>
      <c r="Q19" s="27"/>
      <c r="R19" s="27"/>
      <c r="S19" s="28"/>
    </row>
    <row r="20" spans="1:19" x14ac:dyDescent="0.3">
      <c r="A20" s="40"/>
      <c r="B20" s="39"/>
      <c r="C20" s="39"/>
      <c r="D20" s="39"/>
      <c r="E20" s="39"/>
      <c r="F20" s="39"/>
      <c r="G20" s="27"/>
      <c r="H20" s="39"/>
      <c r="I20" s="39"/>
      <c r="J20" s="39"/>
      <c r="K20" s="39"/>
      <c r="L20" s="39"/>
      <c r="M20" s="39"/>
      <c r="N20" s="39"/>
      <c r="O20" s="27"/>
      <c r="P20" s="27"/>
      <c r="Q20" s="27"/>
      <c r="R20" s="27"/>
      <c r="S20" s="28"/>
    </row>
    <row r="21" spans="1:19" x14ac:dyDescent="0.3">
      <c r="A21" s="40"/>
      <c r="B21" s="39"/>
      <c r="C21" s="39"/>
      <c r="D21" s="39"/>
      <c r="E21" s="39"/>
      <c r="F21" s="39"/>
      <c r="G21" s="27"/>
      <c r="H21" s="39"/>
      <c r="I21" s="39"/>
      <c r="J21" s="39"/>
      <c r="K21" s="39"/>
      <c r="L21" s="39"/>
      <c r="M21" s="39"/>
      <c r="N21" s="39"/>
      <c r="O21" s="27"/>
      <c r="P21" s="27"/>
      <c r="Q21" s="27"/>
      <c r="R21" s="27"/>
      <c r="S21" s="28"/>
    </row>
    <row r="22" spans="1:19" x14ac:dyDescent="0.3">
      <c r="A22" s="40"/>
      <c r="B22" s="39"/>
      <c r="C22" s="39"/>
      <c r="D22" s="39"/>
      <c r="E22" s="39"/>
      <c r="F22" s="39"/>
      <c r="G22" s="27"/>
      <c r="H22" s="39"/>
      <c r="I22" s="39"/>
      <c r="J22" s="39"/>
      <c r="K22" s="39"/>
      <c r="L22" s="39"/>
      <c r="M22" s="39"/>
      <c r="N22" s="39"/>
      <c r="O22" s="27"/>
      <c r="P22" s="27"/>
      <c r="Q22" s="27"/>
      <c r="R22" s="27"/>
      <c r="S22" s="28"/>
    </row>
    <row r="23" spans="1:19" x14ac:dyDescent="0.3">
      <c r="A23" s="40"/>
      <c r="B23" s="39"/>
      <c r="C23" s="39"/>
      <c r="D23" s="39"/>
      <c r="E23" s="39"/>
      <c r="F23" s="39"/>
      <c r="G23" s="27"/>
      <c r="H23" s="39"/>
      <c r="I23" s="39"/>
      <c r="J23" s="39"/>
      <c r="K23" s="39"/>
      <c r="L23" s="39"/>
      <c r="M23" s="39"/>
      <c r="N23" s="39"/>
      <c r="O23" s="27"/>
      <c r="P23" s="27"/>
      <c r="Q23" s="27"/>
      <c r="R23" s="27"/>
      <c r="S23" s="28"/>
    </row>
    <row r="24" spans="1:19" x14ac:dyDescent="0.3">
      <c r="A24" s="40"/>
      <c r="B24" s="39"/>
      <c r="C24" s="39"/>
      <c r="D24" s="39"/>
      <c r="E24" s="39"/>
      <c r="F24" s="39"/>
      <c r="G24" s="27"/>
      <c r="H24" s="39"/>
      <c r="I24" s="39"/>
      <c r="J24" s="39"/>
      <c r="K24" s="39"/>
      <c r="L24" s="39"/>
      <c r="M24" s="39"/>
      <c r="N24" s="39"/>
      <c r="O24" s="27"/>
      <c r="P24" s="27"/>
      <c r="Q24" s="27"/>
      <c r="R24" s="27"/>
      <c r="S24" s="28"/>
    </row>
    <row r="25" spans="1:19" x14ac:dyDescent="0.3">
      <c r="A25" s="40"/>
      <c r="B25" s="39"/>
      <c r="C25" s="39"/>
      <c r="D25" s="39"/>
      <c r="E25" s="39"/>
      <c r="F25" s="39"/>
      <c r="G25" s="27"/>
      <c r="H25" s="39"/>
      <c r="I25" s="39"/>
      <c r="J25" s="39"/>
      <c r="K25" s="39"/>
      <c r="L25" s="39"/>
      <c r="M25" s="39"/>
      <c r="N25" s="39"/>
      <c r="O25" s="27"/>
      <c r="P25" s="27"/>
      <c r="Q25" s="27"/>
      <c r="R25" s="27"/>
      <c r="S25" s="28"/>
    </row>
    <row r="26" spans="1:19" x14ac:dyDescent="0.3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8"/>
    </row>
    <row r="27" spans="1:19" x14ac:dyDescent="0.3">
      <c r="A27" s="40"/>
      <c r="B27" s="39"/>
      <c r="C27" s="39"/>
      <c r="D27" s="39"/>
      <c r="E27" s="27"/>
      <c r="F27" s="27"/>
      <c r="G27" s="27"/>
      <c r="H27" s="39"/>
      <c r="I27" s="39"/>
      <c r="J27" s="39"/>
      <c r="K27" s="39"/>
      <c r="L27" s="39"/>
      <c r="M27" s="39"/>
      <c r="N27" s="39"/>
      <c r="O27" s="27"/>
      <c r="P27" s="27"/>
      <c r="Q27" s="27"/>
      <c r="R27" s="27"/>
      <c r="S27" s="28"/>
    </row>
    <row r="28" spans="1:19" x14ac:dyDescent="0.3">
      <c r="A28" s="40"/>
      <c r="B28" s="39"/>
      <c r="C28" s="39"/>
      <c r="D28" s="39"/>
      <c r="E28" s="27"/>
      <c r="F28" s="27"/>
      <c r="G28" s="27"/>
      <c r="H28" s="39"/>
      <c r="I28" s="39"/>
      <c r="J28" s="39"/>
      <c r="K28" s="39"/>
      <c r="L28" s="39"/>
      <c r="M28" s="39"/>
      <c r="N28" s="39"/>
      <c r="O28" s="27"/>
      <c r="P28" s="27"/>
      <c r="Q28" s="27"/>
      <c r="R28" s="27"/>
      <c r="S28" s="28"/>
    </row>
    <row r="29" spans="1:19" x14ac:dyDescent="0.3">
      <c r="A29" s="40"/>
      <c r="B29" s="39"/>
      <c r="C29" s="39"/>
      <c r="D29" s="39"/>
      <c r="E29" s="27"/>
      <c r="F29" s="27"/>
      <c r="G29" s="27"/>
      <c r="H29" s="39"/>
      <c r="I29" s="39"/>
      <c r="J29" s="39"/>
      <c r="K29" s="39"/>
      <c r="L29" s="39"/>
      <c r="M29" s="39"/>
      <c r="N29" s="39"/>
      <c r="O29" s="27"/>
      <c r="P29" s="27"/>
      <c r="Q29" s="27"/>
      <c r="R29" s="27"/>
      <c r="S29" s="28"/>
    </row>
    <row r="30" spans="1:19" x14ac:dyDescent="0.3">
      <c r="A30" s="40"/>
      <c r="B30" s="39"/>
      <c r="C30" s="39"/>
      <c r="D30" s="39"/>
      <c r="E30" s="27"/>
      <c r="F30" s="27"/>
      <c r="G30" s="27"/>
      <c r="H30" s="39"/>
      <c r="I30" s="39"/>
      <c r="J30" s="39"/>
      <c r="K30" s="39"/>
      <c r="L30" s="39"/>
      <c r="M30" s="39"/>
      <c r="N30" s="39"/>
      <c r="O30" s="27"/>
      <c r="P30" s="27"/>
      <c r="Q30" s="27"/>
      <c r="R30" s="27"/>
      <c r="S30" s="28"/>
    </row>
    <row r="31" spans="1:19" x14ac:dyDescent="0.3">
      <c r="A31" s="40"/>
      <c r="B31" s="39"/>
      <c r="C31" s="39"/>
      <c r="D31" s="39"/>
      <c r="E31" s="27"/>
      <c r="F31" s="27"/>
      <c r="G31" s="27"/>
      <c r="H31" s="39"/>
      <c r="I31" s="39"/>
      <c r="J31" s="39"/>
      <c r="K31" s="39"/>
      <c r="L31" s="39"/>
      <c r="M31" s="39"/>
      <c r="N31" s="39"/>
      <c r="O31" s="27"/>
      <c r="P31" s="27"/>
      <c r="Q31" s="27"/>
      <c r="R31" s="27"/>
      <c r="S31" s="28"/>
    </row>
    <row r="32" spans="1:19" x14ac:dyDescent="0.3">
      <c r="A32" s="40"/>
      <c r="B32" s="39"/>
      <c r="C32" s="39"/>
      <c r="D32" s="39"/>
      <c r="E32" s="27"/>
      <c r="F32" s="27"/>
      <c r="G32" s="27"/>
      <c r="H32" s="39"/>
      <c r="I32" s="39"/>
      <c r="J32" s="39"/>
      <c r="K32" s="39"/>
      <c r="L32" s="39"/>
      <c r="M32" s="39"/>
      <c r="N32" s="39"/>
      <c r="O32" s="27"/>
      <c r="P32" s="27"/>
      <c r="Q32" s="27"/>
      <c r="R32" s="27"/>
      <c r="S32" s="28"/>
    </row>
    <row r="33" spans="1:19" x14ac:dyDescent="0.3">
      <c r="A33" s="40"/>
      <c r="B33" s="39"/>
      <c r="C33" s="39"/>
      <c r="D33" s="39"/>
      <c r="E33" s="27"/>
      <c r="F33" s="27"/>
      <c r="G33" s="27"/>
      <c r="H33" s="39"/>
      <c r="I33" s="39"/>
      <c r="J33" s="39"/>
      <c r="K33" s="39"/>
      <c r="L33" s="39"/>
      <c r="M33" s="39"/>
      <c r="N33" s="39"/>
      <c r="O33" s="27"/>
      <c r="P33" s="27"/>
      <c r="Q33" s="27"/>
      <c r="R33" s="27"/>
      <c r="S33" s="28"/>
    </row>
    <row r="34" spans="1:19" x14ac:dyDescent="0.3">
      <c r="A34" s="40"/>
      <c r="B34" s="39"/>
      <c r="C34" s="39"/>
      <c r="D34" s="39"/>
      <c r="E34" s="27"/>
      <c r="F34" s="27"/>
      <c r="G34" s="27"/>
      <c r="H34" s="39"/>
      <c r="I34" s="39"/>
      <c r="J34" s="39"/>
      <c r="K34" s="39"/>
      <c r="L34" s="39"/>
      <c r="M34" s="39"/>
      <c r="N34" s="39"/>
      <c r="O34" s="27"/>
      <c r="P34" s="27"/>
      <c r="Q34" s="27"/>
      <c r="R34" s="27"/>
      <c r="S34" s="28"/>
    </row>
    <row r="35" spans="1:19" x14ac:dyDescent="0.3">
      <c r="A35" s="40"/>
      <c r="B35" s="39"/>
      <c r="C35" s="39"/>
      <c r="D35" s="39"/>
      <c r="E35" s="27"/>
      <c r="F35" s="27"/>
      <c r="G35" s="27"/>
      <c r="H35" s="39"/>
      <c r="I35" s="39"/>
      <c r="J35" s="39"/>
      <c r="K35" s="39"/>
      <c r="L35" s="39"/>
      <c r="M35" s="39"/>
      <c r="N35" s="39"/>
      <c r="O35" s="27"/>
      <c r="P35" s="27"/>
      <c r="Q35" s="27"/>
      <c r="R35" s="27"/>
      <c r="S35" s="28"/>
    </row>
    <row r="36" spans="1:19" x14ac:dyDescent="0.3">
      <c r="A36" s="40"/>
      <c r="B36" s="39"/>
      <c r="C36" s="39"/>
      <c r="D36" s="39"/>
      <c r="E36" s="27"/>
      <c r="F36" s="27"/>
      <c r="G36" s="27"/>
      <c r="H36" s="39"/>
      <c r="I36" s="39"/>
      <c r="J36" s="39"/>
      <c r="K36" s="39"/>
      <c r="L36" s="39"/>
      <c r="M36" s="39"/>
      <c r="N36" s="39"/>
      <c r="O36" s="27"/>
      <c r="P36" s="27"/>
      <c r="Q36" s="27"/>
      <c r="R36" s="27"/>
      <c r="S36" s="28"/>
    </row>
    <row r="37" spans="1:19" x14ac:dyDescent="0.3">
      <c r="A37" s="40"/>
      <c r="B37" s="39"/>
      <c r="C37" s="39"/>
      <c r="D37" s="39"/>
      <c r="E37" s="27"/>
      <c r="F37" s="27"/>
      <c r="G37" s="27"/>
      <c r="H37" s="39"/>
      <c r="I37" s="39"/>
      <c r="J37" s="39"/>
      <c r="K37" s="39"/>
      <c r="L37" s="39"/>
      <c r="M37" s="39"/>
      <c r="N37" s="39"/>
      <c r="O37" s="27"/>
      <c r="P37" s="27"/>
      <c r="Q37" s="27"/>
      <c r="R37" s="27"/>
      <c r="S37" s="28"/>
    </row>
    <row r="38" spans="1:19" x14ac:dyDescent="0.3">
      <c r="A38" s="40"/>
      <c r="B38" s="39"/>
      <c r="C38" s="39"/>
      <c r="D38" s="39"/>
      <c r="E38" s="27"/>
      <c r="F38" s="27"/>
      <c r="G38" s="27"/>
      <c r="H38" s="39"/>
      <c r="I38" s="39"/>
      <c r="J38" s="39"/>
      <c r="K38" s="39"/>
      <c r="L38" s="39"/>
      <c r="M38" s="39"/>
      <c r="N38" s="39"/>
      <c r="O38" s="27"/>
      <c r="P38" s="27"/>
      <c r="Q38" s="27"/>
      <c r="R38" s="27"/>
      <c r="S38" s="28"/>
    </row>
    <row r="39" spans="1:19" x14ac:dyDescent="0.3">
      <c r="A39" s="40"/>
      <c r="B39" s="39"/>
      <c r="C39" s="39"/>
      <c r="D39" s="39"/>
      <c r="E39" s="27"/>
      <c r="F39" s="27"/>
      <c r="G39" s="27"/>
      <c r="H39" s="39"/>
      <c r="I39" s="39"/>
      <c r="J39" s="39"/>
      <c r="K39" s="39"/>
      <c r="L39" s="39"/>
      <c r="M39" s="39"/>
      <c r="N39" s="39"/>
      <c r="O39" s="27"/>
      <c r="P39" s="27"/>
      <c r="Q39" s="27"/>
      <c r="R39" s="27"/>
      <c r="S39" s="28"/>
    </row>
    <row r="40" spans="1:19" x14ac:dyDescent="0.3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8"/>
    </row>
    <row r="41" spans="1:19" x14ac:dyDescent="0.3">
      <c r="A41" s="42"/>
      <c r="B41" s="38"/>
      <c r="C41" s="38"/>
      <c r="D41" s="38"/>
      <c r="E41" s="38"/>
      <c r="F41" s="43"/>
      <c r="G41" s="27"/>
      <c r="H41" s="39"/>
      <c r="I41" s="39"/>
      <c r="J41" s="39"/>
      <c r="K41" s="39"/>
      <c r="L41" s="39"/>
      <c r="M41" s="39"/>
      <c r="N41" s="39"/>
      <c r="O41" s="27"/>
      <c r="P41" s="27"/>
      <c r="Q41" s="27"/>
      <c r="R41" s="27"/>
      <c r="S41" s="28"/>
    </row>
    <row r="42" spans="1:19" x14ac:dyDescent="0.3">
      <c r="A42" s="40"/>
      <c r="B42" s="39"/>
      <c r="C42" s="39"/>
      <c r="D42" s="39"/>
      <c r="E42" s="39"/>
      <c r="F42" s="44"/>
      <c r="G42" s="27"/>
      <c r="H42" s="39"/>
      <c r="I42" s="39"/>
      <c r="J42" s="39"/>
      <c r="K42" s="39"/>
      <c r="L42" s="39"/>
      <c r="M42" s="39"/>
      <c r="N42" s="39"/>
      <c r="O42" s="27"/>
      <c r="P42" s="27"/>
      <c r="Q42" s="27"/>
      <c r="R42" s="27"/>
      <c r="S42" s="28"/>
    </row>
    <row r="43" spans="1:19" x14ac:dyDescent="0.3">
      <c r="A43" s="40"/>
      <c r="B43" s="39"/>
      <c r="C43" s="39"/>
      <c r="D43" s="39"/>
      <c r="E43" s="39"/>
      <c r="F43" s="44"/>
      <c r="G43" s="27"/>
      <c r="H43" s="39"/>
      <c r="I43" s="39"/>
      <c r="J43" s="39"/>
      <c r="K43" s="39"/>
      <c r="L43" s="39"/>
      <c r="M43" s="39"/>
      <c r="N43" s="39"/>
      <c r="O43" s="27"/>
      <c r="P43" s="27"/>
      <c r="Q43" s="27"/>
      <c r="R43" s="27"/>
      <c r="S43" s="28"/>
    </row>
    <row r="44" spans="1:19" x14ac:dyDescent="0.3">
      <c r="A44" s="40"/>
      <c r="B44" s="39"/>
      <c r="C44" s="39"/>
      <c r="D44" s="39"/>
      <c r="E44" s="39"/>
      <c r="F44" s="44"/>
      <c r="G44" s="27"/>
      <c r="H44" s="39"/>
      <c r="I44" s="39"/>
      <c r="J44" s="39"/>
      <c r="K44" s="39"/>
      <c r="L44" s="39"/>
      <c r="M44" s="39"/>
      <c r="N44" s="39"/>
      <c r="O44" s="27"/>
      <c r="P44" s="27"/>
      <c r="Q44" s="27"/>
      <c r="R44" s="27"/>
      <c r="S44" s="28"/>
    </row>
    <row r="45" spans="1:19" x14ac:dyDescent="0.3">
      <c r="A45" s="40"/>
      <c r="B45" s="39"/>
      <c r="C45" s="39"/>
      <c r="D45" s="39"/>
      <c r="E45" s="39"/>
      <c r="F45" s="44"/>
      <c r="G45" s="27"/>
      <c r="H45" s="39"/>
      <c r="I45" s="39"/>
      <c r="J45" s="39"/>
      <c r="K45" s="39"/>
      <c r="L45" s="39"/>
      <c r="M45" s="39"/>
      <c r="N45" s="39"/>
      <c r="O45" s="27"/>
      <c r="P45" s="27"/>
      <c r="Q45" s="27"/>
      <c r="R45" s="27"/>
      <c r="S45" s="28"/>
    </row>
    <row r="46" spans="1:19" x14ac:dyDescent="0.3">
      <c r="A46" s="40"/>
      <c r="B46" s="39"/>
      <c r="C46" s="39"/>
      <c r="D46" s="39"/>
      <c r="E46" s="39"/>
      <c r="F46" s="44"/>
      <c r="G46" s="27"/>
      <c r="H46" s="39"/>
      <c r="I46" s="39"/>
      <c r="J46" s="39"/>
      <c r="K46" s="39"/>
      <c r="L46" s="39"/>
      <c r="M46" s="39"/>
      <c r="N46" s="39"/>
      <c r="O46" s="27"/>
      <c r="P46" s="27"/>
      <c r="Q46" s="27"/>
      <c r="R46" s="27"/>
      <c r="S46" s="28"/>
    </row>
    <row r="47" spans="1:19" x14ac:dyDescent="0.3">
      <c r="A47" s="40"/>
      <c r="B47" s="39"/>
      <c r="C47" s="39"/>
      <c r="D47" s="39"/>
      <c r="E47" s="39"/>
      <c r="F47" s="44"/>
      <c r="G47" s="27"/>
      <c r="H47" s="39"/>
      <c r="I47" s="39"/>
      <c r="J47" s="39"/>
      <c r="K47" s="39"/>
      <c r="L47" s="39"/>
      <c r="M47" s="39"/>
      <c r="N47" s="39"/>
      <c r="O47" s="27"/>
      <c r="P47" s="27"/>
      <c r="Q47" s="27"/>
      <c r="R47" s="27"/>
      <c r="S47" s="28"/>
    </row>
    <row r="48" spans="1:19" x14ac:dyDescent="0.3">
      <c r="A48" s="40"/>
      <c r="B48" s="39"/>
      <c r="C48" s="39"/>
      <c r="D48" s="39"/>
      <c r="E48" s="39"/>
      <c r="F48" s="44"/>
      <c r="G48" s="27"/>
      <c r="H48" s="39"/>
      <c r="I48" s="39"/>
      <c r="J48" s="39"/>
      <c r="K48" s="39"/>
      <c r="L48" s="39"/>
      <c r="M48" s="39"/>
      <c r="N48" s="39"/>
      <c r="O48" s="27"/>
      <c r="P48" s="27"/>
      <c r="Q48" s="27"/>
      <c r="R48" s="27"/>
      <c r="S48" s="28"/>
    </row>
    <row r="49" spans="1:19" x14ac:dyDescent="0.3">
      <c r="A49" s="40"/>
      <c r="B49" s="39"/>
      <c r="C49" s="39"/>
      <c r="D49" s="39"/>
      <c r="E49" s="39"/>
      <c r="F49" s="44"/>
      <c r="G49" s="27"/>
      <c r="H49" s="39"/>
      <c r="I49" s="39"/>
      <c r="J49" s="39"/>
      <c r="K49" s="39"/>
      <c r="L49" s="39"/>
      <c r="M49" s="39"/>
      <c r="N49" s="39"/>
      <c r="O49" s="27"/>
      <c r="P49" s="27"/>
      <c r="Q49" s="27"/>
      <c r="R49" s="27"/>
      <c r="S49" s="28"/>
    </row>
    <row r="50" spans="1:19" x14ac:dyDescent="0.3">
      <c r="A50" s="40"/>
      <c r="B50" s="39"/>
      <c r="C50" s="39"/>
      <c r="D50" s="39"/>
      <c r="E50" s="39"/>
      <c r="F50" s="44"/>
      <c r="G50" s="27"/>
      <c r="H50" s="39"/>
      <c r="I50" s="39"/>
      <c r="J50" s="39"/>
      <c r="K50" s="39"/>
      <c r="L50" s="39"/>
      <c r="M50" s="39"/>
      <c r="N50" s="39"/>
      <c r="O50" s="27"/>
      <c r="P50" s="27"/>
      <c r="Q50" s="27"/>
      <c r="R50" s="27"/>
      <c r="S50" s="28"/>
    </row>
    <row r="51" spans="1:19" x14ac:dyDescent="0.3">
      <c r="A51" s="40"/>
      <c r="B51" s="39"/>
      <c r="C51" s="39"/>
      <c r="D51" s="39"/>
      <c r="E51" s="39"/>
      <c r="F51" s="44"/>
      <c r="G51" s="27"/>
      <c r="H51" s="39"/>
      <c r="I51" s="39"/>
      <c r="J51" s="39"/>
      <c r="K51" s="39"/>
      <c r="L51" s="39"/>
      <c r="M51" s="39"/>
      <c r="N51" s="39"/>
      <c r="O51" s="27"/>
      <c r="P51" s="27"/>
      <c r="Q51" s="27"/>
      <c r="R51" s="27"/>
      <c r="S51" s="28"/>
    </row>
    <row r="52" spans="1:19" x14ac:dyDescent="0.3">
      <c r="A52" s="40"/>
      <c r="B52" s="39"/>
      <c r="C52" s="39"/>
      <c r="D52" s="39"/>
      <c r="E52" s="39"/>
      <c r="F52" s="44"/>
      <c r="G52" s="27"/>
      <c r="H52" s="39"/>
      <c r="I52" s="39"/>
      <c r="J52" s="39"/>
      <c r="K52" s="39"/>
      <c r="L52" s="39"/>
      <c r="M52" s="39"/>
      <c r="N52" s="39"/>
      <c r="O52" s="27"/>
      <c r="P52" s="27"/>
      <c r="Q52" s="27"/>
      <c r="R52" s="27"/>
      <c r="S52" s="28"/>
    </row>
    <row r="53" spans="1:19" x14ac:dyDescent="0.3">
      <c r="A53" s="45"/>
      <c r="B53" s="46"/>
      <c r="C53" s="46"/>
      <c r="D53" s="46"/>
      <c r="E53" s="46"/>
      <c r="F53" s="47"/>
      <c r="G53" s="27"/>
      <c r="H53" s="39"/>
      <c r="I53" s="39"/>
      <c r="J53" s="39"/>
      <c r="K53" s="39"/>
      <c r="L53" s="39"/>
      <c r="M53" s="39"/>
      <c r="N53" s="39"/>
      <c r="O53" s="27"/>
      <c r="P53" s="27"/>
      <c r="Q53" s="27"/>
      <c r="R53" s="27"/>
      <c r="S53" s="28"/>
    </row>
    <row r="54" spans="1:19" x14ac:dyDescent="0.3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8"/>
    </row>
    <row r="55" spans="1:19" ht="15" thickBot="1" x14ac:dyDescent="0.3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50"/>
    </row>
  </sheetData>
  <mergeCells count="25">
    <mergeCell ref="A1:S1"/>
    <mergeCell ref="P9:S10"/>
    <mergeCell ref="J6:L6"/>
    <mergeCell ref="A2:S3"/>
    <mergeCell ref="M4:O5"/>
    <mergeCell ref="M6:O6"/>
    <mergeCell ref="J4:L5"/>
    <mergeCell ref="G4:I5"/>
    <mergeCell ref="G6:I6"/>
    <mergeCell ref="D4:F5"/>
    <mergeCell ref="D6:F6"/>
    <mergeCell ref="A4:C5"/>
    <mergeCell ref="A41:F53"/>
    <mergeCell ref="H41:N53"/>
    <mergeCell ref="H12:N25"/>
    <mergeCell ref="H9:K10"/>
    <mergeCell ref="H11:K11"/>
    <mergeCell ref="C9:F10"/>
    <mergeCell ref="C11:F11"/>
    <mergeCell ref="A13:F25"/>
    <mergeCell ref="A27:D39"/>
    <mergeCell ref="H27:N39"/>
    <mergeCell ref="P4:S5"/>
    <mergeCell ref="P6:S6"/>
    <mergeCell ref="A6:C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Base_Dados</vt:lpstr>
      <vt:lpstr>KPIs</vt:lpstr>
      <vt:lpstr>Analises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Cunha</dc:creator>
  <cp:lastModifiedBy>Filipe Cunha</cp:lastModifiedBy>
  <dcterms:created xsi:type="dcterms:W3CDTF">2015-06-05T18:19:34Z</dcterms:created>
  <dcterms:modified xsi:type="dcterms:W3CDTF">2026-05-19T00:26:26Z</dcterms:modified>
</cp:coreProperties>
</file>